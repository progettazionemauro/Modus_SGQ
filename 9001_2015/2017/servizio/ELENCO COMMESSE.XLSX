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Server-mac\on goin\M__QUALITA\Qualità Modus\SGQ Modus\"/>
    </mc:Choice>
  </mc:AlternateContent>
  <bookViews>
    <workbookView xWindow="480" yWindow="135" windowWidth="27795" windowHeight="13110"/>
  </bookViews>
  <sheets>
    <sheet name="Foglio1" sheetId="1" r:id="rId1"/>
    <sheet name="Foglio2" sheetId="2" r:id="rId2"/>
    <sheet name="Foglio3" sheetId="3" r:id="rId3"/>
  </sheets>
  <calcPr calcId="162913"/>
</workbook>
</file>

<file path=xl/calcChain.xml><?xml version="1.0" encoding="utf-8"?>
<calcChain xmlns="http://schemas.openxmlformats.org/spreadsheetml/2006/main">
  <c r="V57" i="1" l="1"/>
  <c r="V36" i="1" l="1"/>
  <c r="R36" i="1"/>
  <c r="Z36" i="1" s="1"/>
  <c r="V14" i="1"/>
  <c r="R14" i="1"/>
  <c r="Z14" i="1" s="1"/>
  <c r="E29" i="2" l="1"/>
  <c r="E30" i="2" s="1"/>
  <c r="E23" i="2"/>
  <c r="E24" i="2" s="1"/>
  <c r="E21" i="2"/>
  <c r="E22" i="2" s="1"/>
  <c r="E14" i="2"/>
  <c r="E15" i="2" s="1"/>
  <c r="E10" i="2"/>
  <c r="E11" i="2" s="1"/>
</calcChain>
</file>

<file path=xl/sharedStrings.xml><?xml version="1.0" encoding="utf-8"?>
<sst xmlns="http://schemas.openxmlformats.org/spreadsheetml/2006/main" count="278" uniqueCount="62">
  <si>
    <t>DIREZIONE LAVORI</t>
  </si>
  <si>
    <t>D.LGS 81/08</t>
  </si>
  <si>
    <t>PROJECT E Construction Management</t>
  </si>
  <si>
    <t>PROGETTAZIONE</t>
  </si>
  <si>
    <t>CONSULENZE, STIME E PERIZIE</t>
  </si>
  <si>
    <t>VERIFICHE AI SENSI DISCIPLINA LL.PP</t>
  </si>
  <si>
    <t>M.584 - ABITICOOP</t>
  </si>
  <si>
    <t>M.586 - PALAZZO SIRIGNANO</t>
  </si>
  <si>
    <t>M.587 - CASTEL LOMBARDO</t>
  </si>
  <si>
    <t>N</t>
  </si>
  <si>
    <t>A</t>
  </si>
  <si>
    <t>PR</t>
  </si>
  <si>
    <t>LC</t>
  </si>
  <si>
    <t>M.588 - AAREAL PANCIATICHI</t>
  </si>
  <si>
    <t>M.589 - AAREAL COMO - BRAVETTA</t>
  </si>
  <si>
    <t>M.591 - AAREAL VASCA NAVALE</t>
  </si>
  <si>
    <t>M.593 - FIESOLE</t>
  </si>
  <si>
    <t>M. 594 - FONDO GAMMA</t>
  </si>
  <si>
    <t>M. 595 - STELLARIA</t>
  </si>
  <si>
    <t>VF</t>
  </si>
  <si>
    <t>COMMESE ANCORA ATTIVE</t>
  </si>
  <si>
    <t>M.596 - RAI TEULADA</t>
  </si>
  <si>
    <t>M. 597 VEGAGEST CAGLIARI E NAPOLI</t>
  </si>
  <si>
    <t>M. 598 VILLA DEL ROSARIO</t>
  </si>
  <si>
    <t>M.599 AAREAL 4</t>
  </si>
  <si>
    <t>M. 600 PERIZIA CARAVAGGIO</t>
  </si>
  <si>
    <t>M.601 - RAI TEULADA CPI</t>
  </si>
  <si>
    <t>N = NUMERO PROGRESSIVO</t>
  </si>
  <si>
    <t>A = ACQUISIZIONE</t>
  </si>
  <si>
    <t>PR= RAMPINI</t>
  </si>
  <si>
    <t>VF = FAGGIANI</t>
  </si>
  <si>
    <t>LC = COLETTI</t>
  </si>
  <si>
    <t>T</t>
  </si>
  <si>
    <t>T = TIPO ACQUISIZIONE</t>
  </si>
  <si>
    <t>LP = INCARICO DA LISTA</t>
  </si>
  <si>
    <t>GA = GARA</t>
  </si>
  <si>
    <t>(Provveditorato o altri enti dove ci siamo iscritti)</t>
  </si>
  <si>
    <t>LP</t>
  </si>
  <si>
    <t>ID= INCARICO DIRETTO</t>
  </si>
  <si>
    <t>ID</t>
  </si>
  <si>
    <t>M- 602 AAREAL VIA GRAMSCI</t>
  </si>
  <si>
    <t>M- 603 GARAGE S. FABIANO</t>
  </si>
  <si>
    <t>M- 604 PORTA PINCIANA</t>
  </si>
  <si>
    <t>M. 606 VILLA SERENA</t>
  </si>
  <si>
    <t>M- 607 GORLA</t>
  </si>
  <si>
    <t>M- 608 TINTORETTO</t>
  </si>
  <si>
    <t>M- 610 MERCADANTE- TERAMO</t>
  </si>
  <si>
    <t>M.611 - VERONA APC</t>
  </si>
  <si>
    <t>M. 612 MEF LARGO LEOPARDI</t>
  </si>
  <si>
    <t>M.613 - RAI SALARIO 1041</t>
  </si>
  <si>
    <t>M.614 - RAI POLETTO</t>
  </si>
  <si>
    <t>M- 615 MA PROVVIDENZA</t>
  </si>
  <si>
    <t>M- 617 COLLAUDO OFTALMICO</t>
  </si>
  <si>
    <t>M- 619 ALIMENA ANTOLISE</t>
  </si>
  <si>
    <t>M-620 GABEL</t>
  </si>
  <si>
    <t>M-621 SAN SEVERO</t>
  </si>
  <si>
    <t>M-622 FINEDIL</t>
  </si>
  <si>
    <t>M. 623 TORRI IN PIETRA</t>
  </si>
  <si>
    <t>M.623 - ITALIA TURISMO</t>
  </si>
  <si>
    <t>GA</t>
  </si>
  <si>
    <t>M.560 - BASIGLIO</t>
  </si>
  <si>
    <t>M.569 - IMBRA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</si>
</sst>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€&quot;\ * #,##0.00_-;\-&quot;€&quot;\ * #,##0.00_-;_-&quot;€&quot;\ * &quot;-&quot;??_-;_-@_-"/>
    <numFmt numFmtId="164" formatCode="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 tint="-0.499984740745262"/>
      <name val="Trebuchet MS"/>
      <family val="2"/>
    </font>
    <font>
      <sz val="10"/>
      <name val="Trebuchet MS"/>
      <family val="2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0">
    <xf numFmtId="0" fontId="0" fillId="0" borderId="0" xfId="0"/>
    <xf numFmtId="4" fontId="4" fillId="0" borderId="0" xfId="0" applyNumberFormat="1" applyFont="1" applyBorder="1"/>
    <xf numFmtId="10" fontId="0" fillId="0" borderId="0" xfId="0" applyNumberFormat="1"/>
    <xf numFmtId="44" fontId="0" fillId="0" borderId="0" xfId="2" applyFont="1"/>
    <xf numFmtId="44" fontId="0" fillId="0" borderId="0" xfId="0" applyNumberFormat="1"/>
    <xf numFmtId="10" fontId="0" fillId="0" borderId="0" xfId="1" applyNumberFormat="1" applyFont="1"/>
    <xf numFmtId="0" fontId="0" fillId="0" borderId="0" xfId="0" applyBorder="1"/>
    <xf numFmtId="0" fontId="2" fillId="0" borderId="0" xfId="0" applyFont="1" applyBorder="1"/>
    <xf numFmtId="10" fontId="0" fillId="0" borderId="0" xfId="0" applyNumberFormat="1" applyBorder="1" applyAlignment="1">
      <alignment horizontal="center"/>
    </xf>
    <xf numFmtId="9" fontId="0" fillId="0" borderId="0" xfId="0" applyNumberFormat="1" applyBorder="1"/>
    <xf numFmtId="164" fontId="0" fillId="0" borderId="0" xfId="0" applyNumberFormat="1" applyBorder="1" applyAlignment="1">
      <alignment horizontal="center"/>
    </xf>
    <xf numFmtId="0" fontId="0" fillId="0" borderId="0" xfId="0" applyFill="1" applyBorder="1"/>
    <xf numFmtId="0" fontId="5" fillId="2" borderId="0" xfId="0" applyFont="1" applyFill="1" applyBorder="1"/>
    <xf numFmtId="0" fontId="0" fillId="0" borderId="1" xfId="0" applyFont="1" applyBorder="1"/>
    <xf numFmtId="0" fontId="0" fillId="0" borderId="1" xfId="0" applyBorder="1"/>
    <xf numFmtId="4" fontId="4" fillId="0" borderId="1" xfId="0" applyNumberFormat="1" applyFont="1" applyBorder="1"/>
    <xf numFmtId="3" fontId="4" fillId="0" borderId="1" xfId="0" applyNumberFormat="1" applyFont="1" applyBorder="1"/>
    <xf numFmtId="4" fontId="3" fillId="0" borderId="1" xfId="0" applyNumberFormat="1" applyFont="1" applyBorder="1"/>
    <xf numFmtId="0" fontId="0" fillId="0" borderId="1" xfId="0" applyFill="1" applyBorder="1"/>
    <xf numFmtId="0" fontId="2" fillId="0" borderId="1" xfId="0" applyFont="1" applyBorder="1" applyAlignment="1">
      <alignment wrapText="1"/>
    </xf>
    <xf numFmtId="0" fontId="0" fillId="0" borderId="1" xfId="0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0" fontId="0" fillId="0" borderId="1" xfId="0" applyNumberFormat="1" applyBorder="1" applyAlignment="1">
      <alignment horizontal="center"/>
    </xf>
    <xf numFmtId="9" fontId="0" fillId="0" borderId="1" xfId="0" applyNumberFormat="1" applyBorder="1"/>
    <xf numFmtId="0" fontId="0" fillId="3" borderId="1" xfId="0" applyFill="1" applyBorder="1"/>
    <xf numFmtId="0" fontId="0" fillId="3" borderId="0" xfId="0" applyFill="1" applyBorder="1"/>
    <xf numFmtId="0" fontId="5" fillId="2" borderId="0" xfId="0" applyFont="1" applyFill="1" applyBorder="1" applyAlignment="1">
      <alignment horizontal="center"/>
    </xf>
    <xf numFmtId="0" fontId="2" fillId="0" borderId="0" xfId="0" applyFont="1"/>
    <xf numFmtId="0" fontId="6" fillId="2" borderId="0" xfId="0" applyFont="1" applyFill="1" applyBorder="1" applyAlignment="1">
      <alignment horizontal="center"/>
    </xf>
    <xf numFmtId="0" fontId="0" fillId="0" borderId="1" xfId="0" applyFont="1" applyBorder="1" applyAlignment="1">
      <alignment wrapText="1"/>
    </xf>
  </cellXfs>
  <cellStyles count="3">
    <cellStyle name="Normale" xfId="0" builtinId="0"/>
    <cellStyle name="Percentuale" xfId="1" builtinId="5"/>
    <cellStyle name="Valuta" xfId="2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Z72"/>
  <sheetViews>
    <sheetView tabSelected="1" topLeftCell="E34" workbookViewId="0">
      <selection activeCell="U61" sqref="U61"/>
    </sheetView>
  </sheetViews>
  <sheetFormatPr defaultRowHeight="15" x14ac:dyDescent="0.25"/>
  <cols>
    <col min="2" max="4" width="4.7109375" customWidth="1"/>
    <col min="5" max="5" width="27" customWidth="1"/>
    <col min="6" max="8" width="4.7109375" customWidth="1"/>
    <col min="9" max="9" width="25.28515625" bestFit="1" customWidth="1"/>
    <col min="10" max="12" width="4.7109375" customWidth="1"/>
    <col min="13" max="13" width="32.140625" customWidth="1"/>
    <col min="14" max="16" width="4.7109375" customWidth="1"/>
    <col min="17" max="17" width="34.28515625" bestFit="1" customWidth="1"/>
    <col min="18" max="20" width="4.7109375" customWidth="1"/>
    <col min="21" max="21" width="34.140625" customWidth="1"/>
    <col min="22" max="24" width="4.7109375" customWidth="1"/>
    <col min="25" max="25" width="33.85546875" customWidth="1"/>
  </cols>
  <sheetData>
    <row r="3" spans="1:26" ht="21" x14ac:dyDescent="0.35">
      <c r="A3" s="6"/>
      <c r="B3" s="28">
        <v>2015</v>
      </c>
      <c r="C3" s="28"/>
      <c r="D3" s="28"/>
      <c r="E3" s="28"/>
      <c r="F3" s="6"/>
      <c r="G3" s="6"/>
      <c r="H3" s="6"/>
      <c r="L3" s="6"/>
      <c r="M3" s="6"/>
      <c r="N3" s="6"/>
      <c r="O3" s="6"/>
      <c r="P3" s="6"/>
      <c r="R3" s="6"/>
      <c r="S3" s="6"/>
      <c r="T3" s="6"/>
      <c r="V3" s="6"/>
      <c r="W3" s="6"/>
      <c r="X3" s="6"/>
      <c r="Y3" s="6"/>
    </row>
    <row r="4" spans="1:26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6" x14ac:dyDescent="0.25">
      <c r="A5" s="6"/>
      <c r="B5" s="26" t="s">
        <v>9</v>
      </c>
      <c r="C5" s="26" t="s">
        <v>32</v>
      </c>
      <c r="D5" s="12" t="s">
        <v>10</v>
      </c>
      <c r="E5" s="12" t="s">
        <v>3</v>
      </c>
      <c r="F5" s="26" t="s">
        <v>9</v>
      </c>
      <c r="G5" s="26" t="s">
        <v>32</v>
      </c>
      <c r="H5" s="12" t="s">
        <v>10</v>
      </c>
      <c r="I5" s="12" t="s">
        <v>0</v>
      </c>
      <c r="J5" s="26" t="s">
        <v>9</v>
      </c>
      <c r="K5" s="26" t="s">
        <v>32</v>
      </c>
      <c r="L5" s="12" t="s">
        <v>10</v>
      </c>
      <c r="M5" s="12" t="s">
        <v>1</v>
      </c>
      <c r="N5" s="26" t="s">
        <v>9</v>
      </c>
      <c r="O5" s="26" t="s">
        <v>32</v>
      </c>
      <c r="P5" s="12" t="s">
        <v>10</v>
      </c>
      <c r="Q5" s="12" t="s">
        <v>4</v>
      </c>
      <c r="R5" s="26" t="s">
        <v>9</v>
      </c>
      <c r="S5" s="26" t="s">
        <v>32</v>
      </c>
      <c r="T5" s="12" t="s">
        <v>10</v>
      </c>
      <c r="U5" s="12" t="s">
        <v>2</v>
      </c>
      <c r="V5" s="26" t="s">
        <v>9</v>
      </c>
      <c r="W5" s="26" t="s">
        <v>32</v>
      </c>
      <c r="X5" s="12" t="s">
        <v>10</v>
      </c>
      <c r="Y5" s="12" t="s">
        <v>5</v>
      </c>
    </row>
    <row r="6" spans="1:26" x14ac:dyDescent="0.25">
      <c r="A6" s="6"/>
      <c r="B6" s="13">
        <v>1</v>
      </c>
      <c r="C6" s="13" t="s">
        <v>39</v>
      </c>
      <c r="D6" s="14" t="s">
        <v>12</v>
      </c>
      <c r="E6" s="24" t="s">
        <v>8</v>
      </c>
      <c r="F6" s="14">
        <v>1</v>
      </c>
      <c r="G6" s="13" t="s">
        <v>39</v>
      </c>
      <c r="H6" s="14" t="s">
        <v>12</v>
      </c>
      <c r="I6" s="24" t="s">
        <v>8</v>
      </c>
      <c r="J6" s="14">
        <v>1</v>
      </c>
      <c r="K6" s="14" t="s">
        <v>37</v>
      </c>
      <c r="L6" s="14" t="s">
        <v>19</v>
      </c>
      <c r="M6" s="24" t="s">
        <v>16</v>
      </c>
      <c r="N6" s="14">
        <v>1</v>
      </c>
      <c r="O6" s="13" t="s">
        <v>39</v>
      </c>
      <c r="P6" s="14" t="s">
        <v>11</v>
      </c>
      <c r="Q6" s="14" t="s">
        <v>6</v>
      </c>
      <c r="R6" s="14"/>
      <c r="S6" s="14"/>
      <c r="T6" s="14"/>
      <c r="U6" s="14"/>
      <c r="V6" s="14"/>
      <c r="W6" s="14"/>
      <c r="X6" s="14"/>
      <c r="Y6" s="14"/>
    </row>
    <row r="7" spans="1:26" ht="15.75" x14ac:dyDescent="0.3">
      <c r="A7" s="6"/>
      <c r="B7" s="13">
        <v>2</v>
      </c>
      <c r="C7" s="13" t="s">
        <v>37</v>
      </c>
      <c r="D7" s="14" t="s">
        <v>19</v>
      </c>
      <c r="E7" s="24" t="s">
        <v>16</v>
      </c>
      <c r="F7" s="15"/>
      <c r="G7" s="15"/>
      <c r="H7" s="15"/>
      <c r="I7" s="15"/>
      <c r="J7" s="15"/>
      <c r="K7" s="15"/>
      <c r="L7" s="15"/>
      <c r="M7" s="15"/>
      <c r="N7" s="16">
        <v>2</v>
      </c>
      <c r="O7" s="13" t="s">
        <v>39</v>
      </c>
      <c r="P7" s="15" t="s">
        <v>11</v>
      </c>
      <c r="Q7" s="14" t="s">
        <v>7</v>
      </c>
      <c r="R7" s="14"/>
      <c r="S7" s="14"/>
      <c r="T7" s="14"/>
      <c r="U7" s="17"/>
      <c r="V7" s="17"/>
      <c r="W7" s="17"/>
      <c r="X7" s="17"/>
      <c r="Y7" s="14"/>
    </row>
    <row r="8" spans="1:26" x14ac:dyDescent="0.25">
      <c r="A8" s="6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>
        <v>3</v>
      </c>
      <c r="O8" s="13" t="s">
        <v>39</v>
      </c>
      <c r="P8" s="18" t="s">
        <v>12</v>
      </c>
      <c r="Q8" s="14" t="s">
        <v>8</v>
      </c>
      <c r="R8" s="14"/>
      <c r="S8" s="14"/>
      <c r="T8" s="14"/>
      <c r="U8" s="14"/>
      <c r="V8" s="14"/>
      <c r="W8" s="14"/>
      <c r="X8" s="14"/>
      <c r="Y8" s="14"/>
    </row>
    <row r="9" spans="1:26" ht="15.75" x14ac:dyDescent="0.3">
      <c r="A9" s="6"/>
      <c r="B9" s="19"/>
      <c r="C9" s="19"/>
      <c r="D9" s="14"/>
      <c r="E9" s="20"/>
      <c r="F9" s="20"/>
      <c r="G9" s="20"/>
      <c r="H9" s="20"/>
      <c r="I9" s="14"/>
      <c r="J9" s="14"/>
      <c r="K9" s="14"/>
      <c r="L9" s="14"/>
      <c r="M9" s="14"/>
      <c r="N9" s="18">
        <v>4</v>
      </c>
      <c r="O9" s="13" t="s">
        <v>39</v>
      </c>
      <c r="P9" s="15" t="s">
        <v>11</v>
      </c>
      <c r="Q9" s="18" t="s">
        <v>13</v>
      </c>
      <c r="R9" s="14"/>
      <c r="S9" s="14"/>
      <c r="T9" s="14"/>
      <c r="U9" s="14"/>
      <c r="V9" s="14"/>
      <c r="W9" s="14"/>
      <c r="X9" s="14"/>
      <c r="Y9" s="14"/>
    </row>
    <row r="10" spans="1:26" ht="15.75" x14ac:dyDescent="0.3">
      <c r="A10" s="6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>
        <v>5</v>
      </c>
      <c r="O10" s="13" t="s">
        <v>39</v>
      </c>
      <c r="P10" s="15" t="s">
        <v>11</v>
      </c>
      <c r="Q10" s="18" t="s">
        <v>14</v>
      </c>
      <c r="R10" s="14"/>
      <c r="S10" s="14"/>
      <c r="T10" s="14"/>
      <c r="U10" s="14"/>
      <c r="V10" s="14"/>
      <c r="W10" s="14"/>
      <c r="X10" s="14"/>
      <c r="Y10" s="14"/>
    </row>
    <row r="11" spans="1:26" ht="15.75" x14ac:dyDescent="0.3">
      <c r="A11" s="6"/>
      <c r="B11" s="19"/>
      <c r="C11" s="19"/>
      <c r="D11" s="14"/>
      <c r="E11" s="21"/>
      <c r="F11" s="21"/>
      <c r="G11" s="21"/>
      <c r="H11" s="21"/>
      <c r="I11" s="14"/>
      <c r="J11" s="14"/>
      <c r="K11" s="14"/>
      <c r="L11" s="14"/>
      <c r="M11" s="14"/>
      <c r="N11" s="18">
        <v>6</v>
      </c>
      <c r="O11" s="13" t="s">
        <v>39</v>
      </c>
      <c r="P11" s="15" t="s">
        <v>11</v>
      </c>
      <c r="Q11" s="18" t="s">
        <v>15</v>
      </c>
      <c r="R11" s="14"/>
      <c r="S11" s="14"/>
      <c r="T11" s="14"/>
      <c r="U11" s="14"/>
      <c r="V11" s="14"/>
      <c r="W11" s="14"/>
      <c r="X11" s="14"/>
      <c r="Y11" s="14"/>
    </row>
    <row r="12" spans="1:26" ht="15.75" x14ac:dyDescent="0.3">
      <c r="A12" s="6"/>
      <c r="B12" s="14"/>
      <c r="C12" s="14"/>
      <c r="D12" s="14"/>
      <c r="E12" s="22"/>
      <c r="F12" s="22"/>
      <c r="G12" s="22"/>
      <c r="H12" s="22"/>
      <c r="I12" s="14"/>
      <c r="J12" s="14"/>
      <c r="K12" s="14"/>
      <c r="L12" s="14"/>
      <c r="M12" s="14"/>
      <c r="N12" s="14">
        <v>7</v>
      </c>
      <c r="O12" s="13" t="s">
        <v>39</v>
      </c>
      <c r="P12" s="15" t="s">
        <v>11</v>
      </c>
      <c r="Q12" s="18" t="s">
        <v>17</v>
      </c>
      <c r="R12" s="14"/>
      <c r="S12" s="14"/>
      <c r="T12" s="14"/>
      <c r="U12" s="14"/>
      <c r="V12" s="14"/>
      <c r="W12" s="14"/>
      <c r="X12" s="14"/>
      <c r="Y12" s="14"/>
    </row>
    <row r="13" spans="1:26" ht="15.75" x14ac:dyDescent="0.3">
      <c r="A13" s="6"/>
      <c r="B13" s="14"/>
      <c r="C13" s="14"/>
      <c r="D13" s="14"/>
      <c r="E13" s="23"/>
      <c r="F13" s="23"/>
      <c r="G13" s="23"/>
      <c r="H13" s="23"/>
      <c r="I13" s="14"/>
      <c r="J13" s="14"/>
      <c r="K13" s="14"/>
      <c r="L13" s="14"/>
      <c r="M13" s="14"/>
      <c r="N13" s="18">
        <v>8</v>
      </c>
      <c r="O13" s="13" t="s">
        <v>39</v>
      </c>
      <c r="P13" s="15" t="s">
        <v>11</v>
      </c>
      <c r="Q13" s="24" t="s">
        <v>18</v>
      </c>
      <c r="R13" s="14"/>
      <c r="S13" s="14"/>
      <c r="T13" s="14"/>
      <c r="U13" s="14"/>
      <c r="V13" s="14"/>
      <c r="W13" s="14"/>
      <c r="X13" s="14"/>
      <c r="Y13" s="14"/>
    </row>
    <row r="14" spans="1:26" x14ac:dyDescent="0.25">
      <c r="A14" s="6"/>
      <c r="B14" s="6">
        <v>2</v>
      </c>
      <c r="C14" s="6"/>
      <c r="D14" s="6"/>
      <c r="E14" s="10"/>
      <c r="F14" s="6">
        <v>1</v>
      </c>
      <c r="G14" s="6"/>
      <c r="H14" s="10"/>
      <c r="I14" s="10"/>
      <c r="J14" s="11">
        <v>1</v>
      </c>
      <c r="K14" s="11"/>
      <c r="L14" s="10"/>
      <c r="M14" s="10"/>
      <c r="N14" s="11">
        <v>8</v>
      </c>
      <c r="O14" s="11"/>
      <c r="P14" s="10"/>
      <c r="Q14" s="10"/>
      <c r="R14" s="6">
        <f>SUM(R6:R13)</f>
        <v>0</v>
      </c>
      <c r="S14" s="6"/>
      <c r="T14" s="10"/>
      <c r="U14" s="6"/>
      <c r="V14" s="6">
        <f>SUM(V6:V13)</f>
        <v>0</v>
      </c>
      <c r="W14" s="6"/>
      <c r="X14" s="6"/>
      <c r="Y14" s="6"/>
      <c r="Z14">
        <f>SUM(B14:Y14)</f>
        <v>12</v>
      </c>
    </row>
    <row r="15" spans="1:26" x14ac:dyDescent="0.25">
      <c r="A15" s="6"/>
      <c r="B15" s="6"/>
      <c r="C15" s="6"/>
      <c r="D15" s="6"/>
      <c r="F15" s="6"/>
      <c r="G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spans="1:26" ht="15.75" x14ac:dyDescent="0.3">
      <c r="A16" s="6"/>
      <c r="B16" s="6"/>
      <c r="C16" s="6"/>
      <c r="D16" s="6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6"/>
      <c r="V16" s="6"/>
      <c r="W16" s="6"/>
      <c r="X16" s="6"/>
      <c r="Y16" s="6"/>
    </row>
    <row r="17" spans="1:25" ht="21" x14ac:dyDescent="0.35">
      <c r="A17" s="6"/>
      <c r="B17" s="28">
        <v>2016</v>
      </c>
      <c r="C17" s="28"/>
      <c r="D17" s="28"/>
      <c r="E17" s="28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spans="1:25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spans="1:25" x14ac:dyDescent="0.25">
      <c r="A19" s="6"/>
      <c r="B19" s="26" t="s">
        <v>9</v>
      </c>
      <c r="C19" s="26" t="s">
        <v>32</v>
      </c>
      <c r="D19" s="12" t="s">
        <v>10</v>
      </c>
      <c r="E19" s="12" t="s">
        <v>3</v>
      </c>
      <c r="F19" s="26" t="s">
        <v>9</v>
      </c>
      <c r="G19" s="26" t="s">
        <v>32</v>
      </c>
      <c r="H19" s="12" t="s">
        <v>10</v>
      </c>
      <c r="I19" s="12" t="s">
        <v>0</v>
      </c>
      <c r="J19" s="26" t="s">
        <v>9</v>
      </c>
      <c r="K19" s="26" t="s">
        <v>32</v>
      </c>
      <c r="L19" s="12" t="s">
        <v>10</v>
      </c>
      <c r="M19" s="12" t="s">
        <v>1</v>
      </c>
      <c r="N19" s="26" t="s">
        <v>9</v>
      </c>
      <c r="O19" s="26" t="s">
        <v>32</v>
      </c>
      <c r="P19" s="12" t="s">
        <v>10</v>
      </c>
      <c r="Q19" s="12" t="s">
        <v>4</v>
      </c>
      <c r="R19" s="26" t="s">
        <v>9</v>
      </c>
      <c r="S19" s="26" t="s">
        <v>32</v>
      </c>
      <c r="T19" s="12" t="s">
        <v>10</v>
      </c>
      <c r="U19" s="12" t="s">
        <v>2</v>
      </c>
      <c r="V19" s="26" t="s">
        <v>9</v>
      </c>
      <c r="W19" s="26" t="s">
        <v>32</v>
      </c>
      <c r="X19" s="12" t="s">
        <v>10</v>
      </c>
      <c r="Y19" s="12" t="s">
        <v>5</v>
      </c>
    </row>
    <row r="20" spans="1:25" ht="15.75" x14ac:dyDescent="0.3">
      <c r="A20" s="6"/>
      <c r="B20" s="13">
        <v>1</v>
      </c>
      <c r="C20" s="14" t="s">
        <v>37</v>
      </c>
      <c r="D20" s="14" t="s">
        <v>12</v>
      </c>
      <c r="E20" s="24" t="s">
        <v>23</v>
      </c>
      <c r="F20" s="14">
        <v>1</v>
      </c>
      <c r="G20" s="14" t="s">
        <v>37</v>
      </c>
      <c r="H20" s="14" t="s">
        <v>12</v>
      </c>
      <c r="I20" s="24" t="s">
        <v>21</v>
      </c>
      <c r="J20" s="14">
        <v>1</v>
      </c>
      <c r="K20" s="14" t="s">
        <v>37</v>
      </c>
      <c r="L20" s="14" t="s">
        <v>12</v>
      </c>
      <c r="M20" s="24" t="s">
        <v>21</v>
      </c>
      <c r="N20" s="14">
        <v>1</v>
      </c>
      <c r="O20" s="13" t="s">
        <v>39</v>
      </c>
      <c r="P20" s="14" t="s">
        <v>11</v>
      </c>
      <c r="Q20" s="24" t="s">
        <v>22</v>
      </c>
      <c r="R20" s="14"/>
      <c r="S20" s="13"/>
      <c r="T20" s="14"/>
      <c r="U20" s="17"/>
      <c r="V20" s="14"/>
      <c r="W20" s="14"/>
      <c r="X20" s="14"/>
      <c r="Y20" s="14"/>
    </row>
    <row r="21" spans="1:25" ht="15.75" x14ac:dyDescent="0.3">
      <c r="A21" s="6"/>
      <c r="B21" s="13">
        <v>2</v>
      </c>
      <c r="C21" s="13" t="s">
        <v>39</v>
      </c>
      <c r="D21" s="14" t="s">
        <v>12</v>
      </c>
      <c r="E21" s="24" t="s">
        <v>43</v>
      </c>
      <c r="F21" s="14">
        <v>2</v>
      </c>
      <c r="G21" s="14" t="s">
        <v>37</v>
      </c>
      <c r="H21" s="14" t="s">
        <v>12</v>
      </c>
      <c r="I21" s="24" t="s">
        <v>47</v>
      </c>
      <c r="J21" s="14">
        <v>2</v>
      </c>
      <c r="K21" s="14" t="s">
        <v>37</v>
      </c>
      <c r="L21" s="14" t="s">
        <v>12</v>
      </c>
      <c r="M21" s="24" t="s">
        <v>26</v>
      </c>
      <c r="N21" s="16">
        <v>2</v>
      </c>
      <c r="O21" s="13" t="s">
        <v>39</v>
      </c>
      <c r="P21" s="14" t="s">
        <v>11</v>
      </c>
      <c r="Q21" s="18" t="s">
        <v>24</v>
      </c>
      <c r="R21" s="14"/>
      <c r="S21" s="14"/>
      <c r="T21" s="14"/>
      <c r="U21" s="17"/>
      <c r="V21" s="17"/>
      <c r="W21" s="17"/>
      <c r="X21" s="17"/>
      <c r="Y21" s="14"/>
    </row>
    <row r="22" spans="1:25" x14ac:dyDescent="0.25">
      <c r="A22" s="6"/>
      <c r="B22" s="13">
        <v>3</v>
      </c>
      <c r="C22" s="14" t="s">
        <v>37</v>
      </c>
      <c r="D22" s="14" t="s">
        <v>19</v>
      </c>
      <c r="E22" s="24" t="s">
        <v>48</v>
      </c>
      <c r="F22" s="14"/>
      <c r="G22" s="14"/>
      <c r="H22" s="14"/>
      <c r="I22" s="14"/>
      <c r="J22" s="14">
        <v>3</v>
      </c>
      <c r="K22" s="14" t="s">
        <v>37</v>
      </c>
      <c r="L22" s="14" t="s">
        <v>12</v>
      </c>
      <c r="M22" s="24" t="s">
        <v>49</v>
      </c>
      <c r="N22" s="14">
        <v>3</v>
      </c>
      <c r="O22" s="13" t="s">
        <v>39</v>
      </c>
      <c r="P22" s="14" t="s">
        <v>12</v>
      </c>
      <c r="Q22" s="18" t="s">
        <v>25</v>
      </c>
      <c r="R22" s="14"/>
      <c r="S22" s="14"/>
      <c r="T22" s="14"/>
      <c r="U22" s="14"/>
      <c r="V22" s="14"/>
      <c r="W22" s="14"/>
      <c r="X22" s="14"/>
      <c r="Y22" s="14"/>
    </row>
    <row r="23" spans="1:25" x14ac:dyDescent="0.25">
      <c r="A23" s="6"/>
      <c r="B23" s="13">
        <v>4</v>
      </c>
      <c r="C23" s="14" t="s">
        <v>37</v>
      </c>
      <c r="D23" s="14" t="s">
        <v>12</v>
      </c>
      <c r="E23" s="24" t="s">
        <v>49</v>
      </c>
      <c r="F23" s="20"/>
      <c r="G23" s="20"/>
      <c r="H23" s="20"/>
      <c r="I23" s="14"/>
      <c r="J23" s="14"/>
      <c r="K23" s="14"/>
      <c r="L23" s="14"/>
      <c r="M23" s="14"/>
      <c r="N23" s="18">
        <v>4</v>
      </c>
      <c r="O23" s="13" t="s">
        <v>39</v>
      </c>
      <c r="P23" s="14" t="s">
        <v>11</v>
      </c>
      <c r="Q23" s="18" t="s">
        <v>40</v>
      </c>
      <c r="R23" s="14"/>
      <c r="S23" s="14"/>
      <c r="T23" s="14"/>
      <c r="U23" s="14"/>
      <c r="V23" s="14"/>
      <c r="W23" s="14"/>
      <c r="X23" s="14"/>
      <c r="Y23" s="14"/>
    </row>
    <row r="24" spans="1:25" ht="15.75" x14ac:dyDescent="0.3">
      <c r="A24" s="6"/>
      <c r="B24" s="13">
        <v>5</v>
      </c>
      <c r="C24" s="14" t="s">
        <v>37</v>
      </c>
      <c r="D24" s="14" t="s">
        <v>12</v>
      </c>
      <c r="E24" s="24" t="s">
        <v>50</v>
      </c>
      <c r="F24" s="14"/>
      <c r="G24" s="14"/>
      <c r="H24" s="14"/>
      <c r="I24" s="14"/>
      <c r="J24" s="14"/>
      <c r="K24" s="14"/>
      <c r="L24" s="14"/>
      <c r="M24" s="14"/>
      <c r="N24" s="14">
        <v>5</v>
      </c>
      <c r="O24" s="13" t="s">
        <v>39</v>
      </c>
      <c r="P24" s="15" t="s">
        <v>19</v>
      </c>
      <c r="Q24" s="24" t="s">
        <v>41</v>
      </c>
      <c r="R24" s="14"/>
      <c r="S24" s="14"/>
      <c r="T24" s="14"/>
      <c r="U24" s="14"/>
      <c r="V24" s="14"/>
      <c r="W24" s="14"/>
      <c r="X24" s="14"/>
      <c r="Y24" s="14"/>
    </row>
    <row r="25" spans="1:25" ht="15.75" x14ac:dyDescent="0.3">
      <c r="A25" s="6"/>
      <c r="B25" s="19"/>
      <c r="C25" s="19"/>
      <c r="D25" s="14"/>
      <c r="E25" s="21"/>
      <c r="F25" s="21"/>
      <c r="G25" s="21"/>
      <c r="H25" s="21"/>
      <c r="I25" s="14"/>
      <c r="J25" s="14"/>
      <c r="K25" s="14"/>
      <c r="L25" s="14"/>
      <c r="M25" s="14"/>
      <c r="N25" s="18">
        <v>6</v>
      </c>
      <c r="O25" s="13" t="s">
        <v>39</v>
      </c>
      <c r="P25" s="15" t="s">
        <v>12</v>
      </c>
      <c r="Q25" s="24" t="s">
        <v>42</v>
      </c>
      <c r="R25" s="14"/>
      <c r="S25" s="14"/>
      <c r="T25" s="14"/>
      <c r="U25" s="14"/>
      <c r="V25" s="14"/>
      <c r="W25" s="14"/>
      <c r="X25" s="14"/>
      <c r="Y25" s="14"/>
    </row>
    <row r="26" spans="1:25" x14ac:dyDescent="0.25">
      <c r="A26" s="6"/>
      <c r="B26" s="14"/>
      <c r="C26" s="14"/>
      <c r="D26" s="14"/>
      <c r="E26" s="22"/>
      <c r="F26" s="22"/>
      <c r="G26" s="22"/>
      <c r="H26" s="22"/>
      <c r="I26" s="14"/>
      <c r="J26" s="14"/>
      <c r="K26" s="14"/>
      <c r="L26" s="14"/>
      <c r="M26" s="14"/>
      <c r="N26" s="14">
        <v>7</v>
      </c>
      <c r="O26" s="14"/>
      <c r="P26" s="14" t="s">
        <v>11</v>
      </c>
      <c r="Q26" s="18" t="s">
        <v>44</v>
      </c>
      <c r="R26" s="14"/>
      <c r="S26" s="14"/>
      <c r="T26" s="14"/>
      <c r="U26" s="14"/>
      <c r="V26" s="14"/>
      <c r="W26" s="14"/>
      <c r="X26" s="14"/>
      <c r="Y26" s="14"/>
    </row>
    <row r="27" spans="1:25" x14ac:dyDescent="0.25">
      <c r="A27" s="6"/>
      <c r="B27" s="14"/>
      <c r="C27" s="14"/>
      <c r="D27" s="14"/>
      <c r="E27" s="22"/>
      <c r="F27" s="22"/>
      <c r="G27" s="22"/>
      <c r="H27" s="22"/>
      <c r="I27" s="14"/>
      <c r="J27" s="14"/>
      <c r="K27" s="14"/>
      <c r="L27" s="14"/>
      <c r="M27" s="14"/>
      <c r="N27" s="18">
        <v>8</v>
      </c>
      <c r="O27" s="13" t="s">
        <v>39</v>
      </c>
      <c r="P27" s="14" t="s">
        <v>11</v>
      </c>
      <c r="Q27" s="18" t="s">
        <v>45</v>
      </c>
      <c r="R27" s="14"/>
      <c r="S27" s="14"/>
      <c r="T27" s="14"/>
      <c r="U27" s="14"/>
      <c r="V27" s="14"/>
      <c r="W27" s="14"/>
      <c r="X27" s="14"/>
      <c r="Y27" s="14"/>
    </row>
    <row r="28" spans="1:25" x14ac:dyDescent="0.25">
      <c r="A28" s="6"/>
      <c r="B28" s="14"/>
      <c r="C28" s="14"/>
      <c r="D28" s="14"/>
      <c r="E28" s="22"/>
      <c r="F28" s="22"/>
      <c r="G28" s="22"/>
      <c r="H28" s="22"/>
      <c r="I28" s="14"/>
      <c r="J28" s="14"/>
      <c r="K28" s="14"/>
      <c r="L28" s="14"/>
      <c r="M28" s="14"/>
      <c r="N28" s="14">
        <v>9</v>
      </c>
      <c r="O28" s="13" t="s">
        <v>39</v>
      </c>
      <c r="P28" s="14" t="s">
        <v>11</v>
      </c>
      <c r="Q28" s="18" t="s">
        <v>46</v>
      </c>
      <c r="R28" s="14"/>
      <c r="S28" s="14"/>
      <c r="T28" s="14"/>
      <c r="U28" s="14"/>
      <c r="V28" s="14"/>
      <c r="W28" s="14"/>
      <c r="X28" s="14"/>
      <c r="Y28" s="14"/>
    </row>
    <row r="29" spans="1:25" ht="15.75" x14ac:dyDescent="0.3">
      <c r="A29" s="6"/>
      <c r="B29" s="14"/>
      <c r="C29" s="14"/>
      <c r="D29" s="14"/>
      <c r="E29" s="22"/>
      <c r="F29" s="22"/>
      <c r="G29" s="22"/>
      <c r="H29" s="22"/>
      <c r="I29" s="14"/>
      <c r="J29" s="14"/>
      <c r="K29" s="14"/>
      <c r="L29" s="14"/>
      <c r="M29" s="14"/>
      <c r="N29" s="18">
        <v>10</v>
      </c>
      <c r="O29" s="14" t="s">
        <v>37</v>
      </c>
      <c r="P29" s="15" t="s">
        <v>19</v>
      </c>
      <c r="Q29" s="24" t="s">
        <v>51</v>
      </c>
      <c r="R29" s="14"/>
      <c r="S29" s="14"/>
      <c r="T29" s="14"/>
      <c r="U29" s="14"/>
      <c r="V29" s="14"/>
      <c r="W29" s="14"/>
      <c r="X29" s="14"/>
      <c r="Y29" s="14"/>
    </row>
    <row r="30" spans="1:25" ht="15.75" x14ac:dyDescent="0.3">
      <c r="A30" s="6"/>
      <c r="B30" s="14"/>
      <c r="C30" s="14"/>
      <c r="D30" s="14"/>
      <c r="E30" s="22"/>
      <c r="F30" s="22"/>
      <c r="G30" s="22"/>
      <c r="H30" s="22"/>
      <c r="I30" s="14"/>
      <c r="J30" s="14"/>
      <c r="K30" s="14"/>
      <c r="L30" s="14"/>
      <c r="M30" s="14"/>
      <c r="N30" s="14">
        <v>11</v>
      </c>
      <c r="O30" s="14" t="s">
        <v>37</v>
      </c>
      <c r="P30" s="15" t="s">
        <v>19</v>
      </c>
      <c r="Q30" s="24" t="s">
        <v>52</v>
      </c>
      <c r="R30" s="14"/>
      <c r="S30" s="14"/>
      <c r="T30" s="14"/>
      <c r="U30" s="14"/>
      <c r="V30" s="14"/>
      <c r="W30" s="14"/>
      <c r="X30" s="14"/>
      <c r="Y30" s="14"/>
    </row>
    <row r="31" spans="1:25" x14ac:dyDescent="0.25">
      <c r="A31" s="6"/>
      <c r="B31" s="14"/>
      <c r="C31" s="14"/>
      <c r="D31" s="14"/>
      <c r="E31" s="22"/>
      <c r="F31" s="22"/>
      <c r="G31" s="22"/>
      <c r="H31" s="22"/>
      <c r="I31" s="14"/>
      <c r="J31" s="14"/>
      <c r="K31" s="14"/>
      <c r="L31" s="14"/>
      <c r="M31" s="14"/>
      <c r="N31" s="18">
        <v>12</v>
      </c>
      <c r="O31" s="13" t="s">
        <v>39</v>
      </c>
      <c r="P31" s="14" t="s">
        <v>11</v>
      </c>
      <c r="Q31" s="18" t="s">
        <v>53</v>
      </c>
      <c r="R31" s="14"/>
      <c r="S31" s="14"/>
      <c r="T31" s="14"/>
      <c r="U31" s="14"/>
      <c r="V31" s="14"/>
      <c r="W31" s="14"/>
      <c r="X31" s="14"/>
      <c r="Y31" s="14"/>
    </row>
    <row r="32" spans="1:25" x14ac:dyDescent="0.25">
      <c r="A32" s="6"/>
      <c r="B32" s="14"/>
      <c r="C32" s="14"/>
      <c r="D32" s="14"/>
      <c r="E32" s="22"/>
      <c r="F32" s="22"/>
      <c r="G32" s="22"/>
      <c r="H32" s="22"/>
      <c r="I32" s="14"/>
      <c r="J32" s="14"/>
      <c r="K32" s="14"/>
      <c r="L32" s="14"/>
      <c r="M32" s="14"/>
      <c r="N32" s="14">
        <v>13</v>
      </c>
      <c r="O32" s="13" t="s">
        <v>39</v>
      </c>
      <c r="P32" s="14" t="s">
        <v>11</v>
      </c>
      <c r="Q32" s="24" t="s">
        <v>54</v>
      </c>
      <c r="R32" s="14"/>
      <c r="S32" s="14"/>
      <c r="T32" s="14"/>
      <c r="U32" s="14"/>
      <c r="V32" s="14"/>
      <c r="W32" s="14"/>
      <c r="X32" s="14"/>
      <c r="Y32" s="14"/>
    </row>
    <row r="33" spans="1:26" x14ac:dyDescent="0.25">
      <c r="A33" s="6"/>
      <c r="B33" s="14"/>
      <c r="C33" s="14"/>
      <c r="D33" s="14"/>
      <c r="E33" s="22"/>
      <c r="F33" s="22"/>
      <c r="G33" s="22"/>
      <c r="H33" s="22"/>
      <c r="I33" s="14"/>
      <c r="J33" s="14"/>
      <c r="K33" s="14"/>
      <c r="L33" s="14"/>
      <c r="M33" s="14"/>
      <c r="N33" s="18">
        <v>14</v>
      </c>
      <c r="O33" s="13" t="s">
        <v>39</v>
      </c>
      <c r="P33" s="14" t="s">
        <v>11</v>
      </c>
      <c r="Q33" s="24" t="s">
        <v>55</v>
      </c>
      <c r="R33" s="14"/>
      <c r="S33" s="14"/>
      <c r="T33" s="14"/>
      <c r="U33" s="14"/>
      <c r="V33" s="14"/>
      <c r="W33" s="14"/>
      <c r="X33" s="14"/>
      <c r="Y33" s="14"/>
    </row>
    <row r="34" spans="1:26" x14ac:dyDescent="0.25">
      <c r="A34" s="6"/>
      <c r="B34" s="14"/>
      <c r="C34" s="14"/>
      <c r="D34" s="14"/>
      <c r="E34" s="22"/>
      <c r="F34" s="22"/>
      <c r="G34" s="22"/>
      <c r="H34" s="22"/>
      <c r="I34" s="14"/>
      <c r="J34" s="14"/>
      <c r="K34" s="14"/>
      <c r="L34" s="14"/>
      <c r="M34" s="14"/>
      <c r="N34" s="14">
        <v>15</v>
      </c>
      <c r="O34" s="13" t="s">
        <v>39</v>
      </c>
      <c r="P34" s="14" t="s">
        <v>11</v>
      </c>
      <c r="Q34" s="24" t="s">
        <v>56</v>
      </c>
      <c r="R34" s="14"/>
      <c r="S34" s="14"/>
      <c r="T34" s="14"/>
      <c r="U34" s="14"/>
      <c r="V34" s="14"/>
      <c r="W34" s="14"/>
      <c r="X34" s="14"/>
      <c r="Y34" s="14"/>
    </row>
    <row r="35" spans="1:26" x14ac:dyDescent="0.25">
      <c r="A35" s="6"/>
      <c r="B35" s="14"/>
      <c r="C35" s="14"/>
      <c r="D35" s="14"/>
      <c r="E35" s="23"/>
      <c r="F35" s="23"/>
      <c r="G35" s="23"/>
      <c r="H35" s="23"/>
      <c r="I35" s="14"/>
      <c r="J35" s="14"/>
      <c r="K35" s="14"/>
      <c r="L35" s="14"/>
      <c r="M35" s="14"/>
      <c r="N35" s="18"/>
      <c r="O35" s="13"/>
      <c r="P35" s="14"/>
      <c r="Q35" s="18"/>
      <c r="R35" s="14"/>
      <c r="S35" s="14"/>
      <c r="T35" s="14"/>
      <c r="U35" s="14"/>
      <c r="V35" s="14"/>
      <c r="W35" s="14"/>
      <c r="X35" s="14"/>
      <c r="Y35" s="14"/>
    </row>
    <row r="36" spans="1:26" x14ac:dyDescent="0.25">
      <c r="A36" s="6"/>
      <c r="B36" s="6">
        <v>5</v>
      </c>
      <c r="C36" s="6"/>
      <c r="D36" s="6"/>
      <c r="E36" s="10"/>
      <c r="F36" s="6">
        <v>2</v>
      </c>
      <c r="G36" s="6"/>
      <c r="H36" s="10"/>
      <c r="I36" s="10"/>
      <c r="J36" s="11">
        <v>3</v>
      </c>
      <c r="K36" s="11"/>
      <c r="L36" s="10"/>
      <c r="M36" s="10"/>
      <c r="N36" s="11">
        <v>15</v>
      </c>
      <c r="O36" s="11"/>
      <c r="P36" s="10"/>
      <c r="Q36" s="10"/>
      <c r="R36" s="6">
        <f>SUM(R20:R35)</f>
        <v>0</v>
      </c>
      <c r="S36" s="6"/>
      <c r="T36" s="10"/>
      <c r="U36" s="6"/>
      <c r="V36" s="6">
        <f>SUM(V20:V35)</f>
        <v>0</v>
      </c>
      <c r="W36" s="6"/>
      <c r="X36" s="6"/>
      <c r="Y36" s="6"/>
      <c r="Z36">
        <f>SUM(B36:Y36)</f>
        <v>25</v>
      </c>
    </row>
    <row r="38" spans="1:26" ht="21" x14ac:dyDescent="0.35">
      <c r="B38" s="28">
        <v>2017</v>
      </c>
      <c r="C38" s="28"/>
      <c r="D38" s="28"/>
      <c r="E38" s="28"/>
    </row>
    <row r="40" spans="1:26" x14ac:dyDescent="0.25">
      <c r="B40" s="26" t="s">
        <v>9</v>
      </c>
      <c r="C40" s="26" t="s">
        <v>32</v>
      </c>
      <c r="D40" s="12" t="s">
        <v>10</v>
      </c>
      <c r="E40" s="12" t="s">
        <v>3</v>
      </c>
      <c r="F40" s="26" t="s">
        <v>9</v>
      </c>
      <c r="G40" s="26" t="s">
        <v>32</v>
      </c>
      <c r="H40" s="12" t="s">
        <v>10</v>
      </c>
      <c r="I40" s="12" t="s">
        <v>0</v>
      </c>
      <c r="J40" s="26" t="s">
        <v>9</v>
      </c>
      <c r="K40" s="26" t="s">
        <v>32</v>
      </c>
      <c r="L40" s="12" t="s">
        <v>10</v>
      </c>
      <c r="M40" s="12" t="s">
        <v>1</v>
      </c>
      <c r="N40" s="26" t="s">
        <v>9</v>
      </c>
      <c r="O40" s="26" t="s">
        <v>32</v>
      </c>
      <c r="P40" s="12" t="s">
        <v>10</v>
      </c>
      <c r="Q40" s="12" t="s">
        <v>4</v>
      </c>
      <c r="R40" s="26" t="s">
        <v>9</v>
      </c>
      <c r="S40" s="26" t="s">
        <v>32</v>
      </c>
      <c r="T40" s="12" t="s">
        <v>10</v>
      </c>
      <c r="U40" s="12" t="s">
        <v>2</v>
      </c>
      <c r="V40" s="26" t="s">
        <v>9</v>
      </c>
      <c r="W40" s="26" t="s">
        <v>32</v>
      </c>
      <c r="X40" s="12" t="s">
        <v>10</v>
      </c>
      <c r="Y40" s="12" t="s">
        <v>5</v>
      </c>
    </row>
    <row r="41" spans="1:26" x14ac:dyDescent="0.25">
      <c r="B41" s="13">
        <v>1</v>
      </c>
      <c r="C41" s="14" t="s">
        <v>37</v>
      </c>
      <c r="D41" s="14" t="s">
        <v>12</v>
      </c>
      <c r="E41" s="18" t="s">
        <v>23</v>
      </c>
      <c r="F41" s="14">
        <v>1</v>
      </c>
      <c r="G41" s="14" t="s">
        <v>37</v>
      </c>
      <c r="H41" s="14" t="s">
        <v>12</v>
      </c>
      <c r="I41" s="24" t="s">
        <v>21</v>
      </c>
      <c r="J41" s="14">
        <v>1</v>
      </c>
      <c r="K41" s="14" t="s">
        <v>37</v>
      </c>
      <c r="L41" s="14" t="s">
        <v>12</v>
      </c>
      <c r="M41" s="18" t="s">
        <v>21</v>
      </c>
      <c r="N41" s="14">
        <v>1</v>
      </c>
      <c r="O41" s="13" t="s">
        <v>39</v>
      </c>
      <c r="P41" s="14" t="s">
        <v>11</v>
      </c>
      <c r="Q41" s="24" t="s">
        <v>22</v>
      </c>
      <c r="R41" s="14">
        <v>1</v>
      </c>
      <c r="S41" s="13" t="s">
        <v>39</v>
      </c>
      <c r="T41" s="14" t="s">
        <v>11</v>
      </c>
      <c r="U41" s="24" t="s">
        <v>60</v>
      </c>
      <c r="V41" s="14">
        <v>1</v>
      </c>
      <c r="W41" s="13" t="s">
        <v>39</v>
      </c>
      <c r="X41" s="14" t="s">
        <v>11</v>
      </c>
      <c r="Y41" s="24" t="s">
        <v>57</v>
      </c>
    </row>
    <row r="42" spans="1:26" ht="15.75" x14ac:dyDescent="0.3">
      <c r="B42" s="13">
        <v>2</v>
      </c>
      <c r="C42" s="13" t="s">
        <v>39</v>
      </c>
      <c r="D42" s="14" t="s">
        <v>12</v>
      </c>
      <c r="E42" s="18" t="s">
        <v>43</v>
      </c>
      <c r="F42" s="14">
        <v>2</v>
      </c>
      <c r="G42" s="14" t="s">
        <v>37</v>
      </c>
      <c r="H42" s="14" t="s">
        <v>12</v>
      </c>
      <c r="I42" s="18" t="s">
        <v>47</v>
      </c>
      <c r="J42" s="14">
        <v>2</v>
      </c>
      <c r="K42" s="14" t="s">
        <v>37</v>
      </c>
      <c r="L42" s="14" t="s">
        <v>12</v>
      </c>
      <c r="M42" s="24" t="s">
        <v>26</v>
      </c>
      <c r="N42" s="16">
        <v>2</v>
      </c>
      <c r="O42" s="13" t="s">
        <v>39</v>
      </c>
      <c r="P42" s="14" t="s">
        <v>11</v>
      </c>
      <c r="Q42" s="18" t="s">
        <v>24</v>
      </c>
      <c r="R42" s="16">
        <v>2</v>
      </c>
      <c r="S42" s="13" t="s">
        <v>39</v>
      </c>
      <c r="T42" s="14" t="s">
        <v>11</v>
      </c>
      <c r="U42" s="24" t="s">
        <v>61</v>
      </c>
      <c r="V42" s="17"/>
      <c r="W42" s="17"/>
      <c r="X42" s="17"/>
      <c r="Y42" s="14"/>
    </row>
    <row r="43" spans="1:26" x14ac:dyDescent="0.25">
      <c r="B43" s="13">
        <v>3</v>
      </c>
      <c r="C43" s="14" t="s">
        <v>37</v>
      </c>
      <c r="D43" s="14" t="s">
        <v>19</v>
      </c>
      <c r="E43" s="18" t="s">
        <v>48</v>
      </c>
      <c r="F43" s="14"/>
      <c r="G43" s="14"/>
      <c r="H43" s="14"/>
      <c r="I43" s="14"/>
      <c r="J43" s="14">
        <v>3</v>
      </c>
      <c r="K43" s="14" t="s">
        <v>37</v>
      </c>
      <c r="L43" s="14" t="s">
        <v>12</v>
      </c>
      <c r="M43" s="24" t="s">
        <v>49</v>
      </c>
      <c r="N43" s="14">
        <v>3</v>
      </c>
      <c r="O43" s="13" t="s">
        <v>39</v>
      </c>
      <c r="P43" s="14" t="s">
        <v>12</v>
      </c>
      <c r="Q43" s="18" t="s">
        <v>25</v>
      </c>
      <c r="R43" s="14"/>
      <c r="S43" s="14"/>
      <c r="T43" s="14"/>
      <c r="U43" s="14"/>
      <c r="V43" s="14"/>
      <c r="W43" s="14"/>
      <c r="X43" s="14"/>
      <c r="Y43" s="14"/>
    </row>
    <row r="44" spans="1:26" x14ac:dyDescent="0.25">
      <c r="B44" s="13">
        <v>4</v>
      </c>
      <c r="C44" s="14" t="s">
        <v>37</v>
      </c>
      <c r="D44" s="14" t="s">
        <v>12</v>
      </c>
      <c r="E44" s="24" t="s">
        <v>49</v>
      </c>
      <c r="F44" s="20"/>
      <c r="G44" s="20"/>
      <c r="H44" s="20"/>
      <c r="I44" s="14"/>
      <c r="J44" s="14"/>
      <c r="K44" s="14"/>
      <c r="L44" s="14"/>
      <c r="M44" s="14"/>
      <c r="N44" s="18">
        <v>4</v>
      </c>
      <c r="O44" s="13" t="s">
        <v>39</v>
      </c>
      <c r="P44" s="14" t="s">
        <v>11</v>
      </c>
      <c r="Q44" s="18" t="s">
        <v>40</v>
      </c>
      <c r="R44" s="14"/>
      <c r="S44" s="14"/>
      <c r="T44" s="14"/>
      <c r="U44" s="14"/>
      <c r="V44" s="14"/>
      <c r="W44" s="14"/>
      <c r="X44" s="14"/>
      <c r="Y44" s="14"/>
    </row>
    <row r="45" spans="1:26" ht="15.75" x14ac:dyDescent="0.3">
      <c r="B45" s="13">
        <v>5</v>
      </c>
      <c r="C45" s="14" t="s">
        <v>37</v>
      </c>
      <c r="D45" s="14" t="s">
        <v>12</v>
      </c>
      <c r="E45" s="18" t="s">
        <v>50</v>
      </c>
      <c r="F45" s="14"/>
      <c r="G45" s="14"/>
      <c r="H45" s="14"/>
      <c r="I45" s="14"/>
      <c r="J45" s="14"/>
      <c r="K45" s="14"/>
      <c r="L45" s="14"/>
      <c r="M45" s="14"/>
      <c r="N45" s="14">
        <v>5</v>
      </c>
      <c r="O45" s="13" t="s">
        <v>39</v>
      </c>
      <c r="P45" s="15" t="s">
        <v>19</v>
      </c>
      <c r="Q45" s="18" t="s">
        <v>41</v>
      </c>
      <c r="R45" s="14"/>
      <c r="S45" s="14"/>
      <c r="T45" s="14"/>
      <c r="U45" s="14"/>
      <c r="V45" s="14"/>
      <c r="W45" s="14"/>
      <c r="X45" s="14"/>
      <c r="Y45" s="14"/>
    </row>
    <row r="46" spans="1:26" ht="15.75" x14ac:dyDescent="0.3">
      <c r="B46" s="19">
        <v>6</v>
      </c>
      <c r="C46" s="29" t="s">
        <v>59</v>
      </c>
      <c r="D46" s="14"/>
      <c r="E46" s="24" t="s">
        <v>58</v>
      </c>
      <c r="F46" s="21"/>
      <c r="G46" s="21"/>
      <c r="H46" s="21"/>
      <c r="I46" s="14"/>
      <c r="J46" s="14"/>
      <c r="K46" s="14"/>
      <c r="L46" s="14"/>
      <c r="M46" s="14"/>
      <c r="N46" s="18">
        <v>6</v>
      </c>
      <c r="O46" s="13" t="s">
        <v>39</v>
      </c>
      <c r="P46" s="15" t="s">
        <v>12</v>
      </c>
      <c r="Q46" s="18" t="s">
        <v>42</v>
      </c>
      <c r="R46" s="14"/>
      <c r="S46" s="14"/>
      <c r="T46" s="14"/>
      <c r="U46" s="14"/>
      <c r="V46" s="14"/>
      <c r="W46" s="14"/>
      <c r="X46" s="14"/>
      <c r="Y46" s="14"/>
    </row>
    <row r="47" spans="1:26" x14ac:dyDescent="0.25">
      <c r="B47" s="14"/>
      <c r="C47" s="14"/>
      <c r="D47" s="14"/>
      <c r="E47" s="22"/>
      <c r="F47" s="22"/>
      <c r="G47" s="22"/>
      <c r="H47" s="22"/>
      <c r="I47" s="14"/>
      <c r="J47" s="14"/>
      <c r="K47" s="14"/>
      <c r="L47" s="14"/>
      <c r="M47" s="14"/>
      <c r="N47" s="14">
        <v>7</v>
      </c>
      <c r="O47" s="14"/>
      <c r="P47" s="14" t="s">
        <v>11</v>
      </c>
      <c r="Q47" s="18" t="s">
        <v>44</v>
      </c>
      <c r="R47" s="14"/>
      <c r="S47" s="14"/>
      <c r="T47" s="14"/>
      <c r="U47" s="14"/>
      <c r="V47" s="14"/>
      <c r="W47" s="14"/>
      <c r="X47" s="14"/>
      <c r="Y47" s="14"/>
    </row>
    <row r="48" spans="1:26" x14ac:dyDescent="0.25">
      <c r="B48" s="14"/>
      <c r="C48" s="14"/>
      <c r="D48" s="14"/>
      <c r="E48" s="22"/>
      <c r="F48" s="22"/>
      <c r="G48" s="22"/>
      <c r="H48" s="22"/>
      <c r="I48" s="14"/>
      <c r="J48" s="14"/>
      <c r="K48" s="14"/>
      <c r="L48" s="14"/>
      <c r="M48" s="14"/>
      <c r="N48" s="18">
        <v>8</v>
      </c>
      <c r="O48" s="13" t="s">
        <v>39</v>
      </c>
      <c r="P48" s="14" t="s">
        <v>11</v>
      </c>
      <c r="Q48" s="18" t="s">
        <v>45</v>
      </c>
      <c r="R48" s="14"/>
      <c r="S48" s="14"/>
      <c r="T48" s="14"/>
      <c r="U48" s="14"/>
      <c r="V48" s="14"/>
      <c r="W48" s="14"/>
      <c r="X48" s="14"/>
      <c r="Y48" s="14"/>
    </row>
    <row r="49" spans="1:25" x14ac:dyDescent="0.25">
      <c r="B49" s="14"/>
      <c r="C49" s="14"/>
      <c r="D49" s="14"/>
      <c r="E49" s="22"/>
      <c r="F49" s="22"/>
      <c r="G49" s="22"/>
      <c r="H49" s="22"/>
      <c r="I49" s="14"/>
      <c r="J49" s="14"/>
      <c r="K49" s="14"/>
      <c r="L49" s="14"/>
      <c r="M49" s="14"/>
      <c r="N49" s="14">
        <v>9</v>
      </c>
      <c r="O49" s="13" t="s">
        <v>39</v>
      </c>
      <c r="P49" s="14" t="s">
        <v>11</v>
      </c>
      <c r="Q49" s="18" t="s">
        <v>46</v>
      </c>
      <c r="R49" s="14"/>
      <c r="S49" s="14"/>
      <c r="T49" s="14"/>
      <c r="U49" s="14"/>
      <c r="V49" s="14"/>
      <c r="W49" s="14"/>
      <c r="X49" s="14"/>
      <c r="Y49" s="14"/>
    </row>
    <row r="50" spans="1:25" ht="15.75" x14ac:dyDescent="0.3">
      <c r="B50" s="14"/>
      <c r="C50" s="14"/>
      <c r="D50" s="14"/>
      <c r="E50" s="22"/>
      <c r="F50" s="22"/>
      <c r="G50" s="22"/>
      <c r="H50" s="22"/>
      <c r="I50" s="14"/>
      <c r="J50" s="14"/>
      <c r="K50" s="14"/>
      <c r="L50" s="14"/>
      <c r="M50" s="14"/>
      <c r="N50" s="18">
        <v>10</v>
      </c>
      <c r="O50" s="14" t="s">
        <v>37</v>
      </c>
      <c r="P50" s="15" t="s">
        <v>19</v>
      </c>
      <c r="Q50" s="18" t="s">
        <v>51</v>
      </c>
      <c r="R50" s="14"/>
      <c r="S50" s="14"/>
      <c r="T50" s="14"/>
      <c r="U50" s="14"/>
      <c r="V50" s="14"/>
      <c r="W50" s="14"/>
      <c r="X50" s="14"/>
      <c r="Y50" s="14"/>
    </row>
    <row r="51" spans="1:25" ht="15.75" x14ac:dyDescent="0.3">
      <c r="B51" s="14"/>
      <c r="C51" s="14"/>
      <c r="D51" s="14"/>
      <c r="E51" s="22"/>
      <c r="F51" s="22"/>
      <c r="G51" s="22"/>
      <c r="H51" s="22"/>
      <c r="I51" s="14"/>
      <c r="J51" s="14"/>
      <c r="K51" s="14"/>
      <c r="L51" s="14"/>
      <c r="M51" s="14"/>
      <c r="N51" s="14">
        <v>11</v>
      </c>
      <c r="O51" s="14" t="s">
        <v>37</v>
      </c>
      <c r="P51" s="15" t="s">
        <v>19</v>
      </c>
      <c r="Q51" s="24" t="s">
        <v>52</v>
      </c>
      <c r="R51" s="14"/>
      <c r="S51" s="14"/>
      <c r="T51" s="14"/>
      <c r="U51" s="14"/>
      <c r="V51" s="14"/>
      <c r="W51" s="14"/>
      <c r="X51" s="14"/>
      <c r="Y51" s="14"/>
    </row>
    <row r="52" spans="1:25" x14ac:dyDescent="0.25">
      <c r="B52" s="14"/>
      <c r="C52" s="14"/>
      <c r="D52" s="14"/>
      <c r="E52" s="22"/>
      <c r="F52" s="22"/>
      <c r="G52" s="22"/>
      <c r="H52" s="22"/>
      <c r="I52" s="14"/>
      <c r="J52" s="14"/>
      <c r="K52" s="14"/>
      <c r="L52" s="14"/>
      <c r="M52" s="14"/>
      <c r="N52" s="18">
        <v>12</v>
      </c>
      <c r="O52" s="13" t="s">
        <v>39</v>
      </c>
      <c r="P52" s="14" t="s">
        <v>11</v>
      </c>
      <c r="Q52" s="18" t="s">
        <v>53</v>
      </c>
      <c r="R52" s="14"/>
      <c r="S52" s="14"/>
      <c r="T52" s="14"/>
      <c r="U52" s="14"/>
      <c r="V52" s="14"/>
      <c r="W52" s="14"/>
      <c r="X52" s="14"/>
      <c r="Y52" s="14"/>
    </row>
    <row r="53" spans="1:25" x14ac:dyDescent="0.25">
      <c r="B53" s="14"/>
      <c r="C53" s="14"/>
      <c r="D53" s="14"/>
      <c r="E53" s="22"/>
      <c r="F53" s="22"/>
      <c r="G53" s="22"/>
      <c r="H53" s="22"/>
      <c r="I53" s="14"/>
      <c r="J53" s="14"/>
      <c r="K53" s="14"/>
      <c r="L53" s="14"/>
      <c r="M53" s="14"/>
      <c r="N53" s="14">
        <v>13</v>
      </c>
      <c r="O53" s="13" t="s">
        <v>39</v>
      </c>
      <c r="P53" s="14" t="s">
        <v>11</v>
      </c>
      <c r="Q53" s="18" t="s">
        <v>54</v>
      </c>
      <c r="R53" s="14"/>
      <c r="S53" s="14"/>
      <c r="T53" s="14"/>
      <c r="U53" s="14"/>
      <c r="V53" s="14"/>
      <c r="W53" s="14"/>
      <c r="X53" s="14"/>
      <c r="Y53" s="14"/>
    </row>
    <row r="54" spans="1:25" x14ac:dyDescent="0.25">
      <c r="B54" s="14"/>
      <c r="C54" s="14"/>
      <c r="D54" s="14"/>
      <c r="E54" s="22"/>
      <c r="F54" s="22"/>
      <c r="G54" s="22"/>
      <c r="H54" s="22"/>
      <c r="I54" s="14"/>
      <c r="J54" s="14"/>
      <c r="K54" s="14"/>
      <c r="L54" s="14"/>
      <c r="M54" s="14"/>
      <c r="N54" s="18">
        <v>14</v>
      </c>
      <c r="O54" s="13" t="s">
        <v>39</v>
      </c>
      <c r="P54" s="14" t="s">
        <v>11</v>
      </c>
      <c r="Q54" s="24" t="s">
        <v>55</v>
      </c>
      <c r="R54" s="14"/>
      <c r="S54" s="14"/>
      <c r="T54" s="14"/>
      <c r="U54" s="14"/>
      <c r="V54" s="14"/>
      <c r="W54" s="14"/>
      <c r="X54" s="14"/>
      <c r="Y54" s="14"/>
    </row>
    <row r="55" spans="1:25" x14ac:dyDescent="0.25">
      <c r="B55" s="14"/>
      <c r="C55" s="14"/>
      <c r="D55" s="14"/>
      <c r="E55" s="22"/>
      <c r="F55" s="22"/>
      <c r="G55" s="22"/>
      <c r="H55" s="22"/>
      <c r="I55" s="14"/>
      <c r="J55" s="14"/>
      <c r="K55" s="14"/>
      <c r="L55" s="14"/>
      <c r="M55" s="14"/>
      <c r="N55" s="14">
        <v>15</v>
      </c>
      <c r="O55" s="13" t="s">
        <v>39</v>
      </c>
      <c r="P55" s="14" t="s">
        <v>11</v>
      </c>
      <c r="Q55" s="24" t="s">
        <v>56</v>
      </c>
      <c r="R55" s="14"/>
      <c r="S55" s="14"/>
      <c r="T55" s="14"/>
      <c r="U55" s="14"/>
      <c r="V55" s="14"/>
      <c r="W55" s="14"/>
      <c r="X55" s="14"/>
      <c r="Y55" s="14"/>
    </row>
    <row r="56" spans="1:25" x14ac:dyDescent="0.25">
      <c r="B56" s="14"/>
      <c r="C56" s="14"/>
      <c r="D56" s="14"/>
      <c r="E56" s="23"/>
      <c r="F56" s="23"/>
      <c r="G56" s="23"/>
      <c r="H56" s="23"/>
      <c r="I56" s="14"/>
      <c r="J56" s="14"/>
      <c r="K56" s="14"/>
      <c r="L56" s="14"/>
      <c r="M56" s="14"/>
      <c r="N56" s="18"/>
      <c r="O56" s="13"/>
      <c r="P56" s="14"/>
      <c r="Q56" s="18"/>
      <c r="R56" s="14"/>
      <c r="S56" s="14"/>
      <c r="T56" s="14"/>
      <c r="U56" s="14"/>
      <c r="V56" s="14"/>
      <c r="W56" s="14"/>
      <c r="X56" s="14"/>
      <c r="Y56" s="14"/>
    </row>
    <row r="57" spans="1:25" x14ac:dyDescent="0.25">
      <c r="A57" s="6"/>
      <c r="B57" s="6">
        <v>5</v>
      </c>
      <c r="C57" s="6"/>
      <c r="D57" s="6"/>
      <c r="E57" s="10"/>
      <c r="F57" s="6">
        <v>2</v>
      </c>
      <c r="G57" s="6"/>
      <c r="H57" s="10"/>
      <c r="I57" s="10"/>
      <c r="J57" s="11">
        <v>3</v>
      </c>
      <c r="K57" s="11"/>
      <c r="L57" s="10"/>
      <c r="M57" s="10"/>
      <c r="N57" s="11">
        <v>15</v>
      </c>
      <c r="O57" s="11"/>
      <c r="P57" s="10"/>
      <c r="Q57" s="10"/>
      <c r="R57" s="6">
        <v>2</v>
      </c>
      <c r="S57" s="6"/>
      <c r="T57" s="10"/>
      <c r="U57" s="6"/>
      <c r="V57" s="6">
        <f>SUM(V41:V56)</f>
        <v>1</v>
      </c>
      <c r="W57" s="6"/>
      <c r="X57" s="6"/>
      <c r="Y57" s="6"/>
    </row>
    <row r="61" spans="1:25" x14ac:dyDescent="0.25">
      <c r="A61" s="6"/>
      <c r="B61" s="6"/>
      <c r="C61" s="6"/>
      <c r="D61" s="6"/>
      <c r="E61" s="8"/>
      <c r="F61" s="8"/>
      <c r="G61" s="8"/>
      <c r="H61" s="8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x14ac:dyDescent="0.25">
      <c r="A62" s="6"/>
      <c r="B62" s="6"/>
      <c r="C62" s="6"/>
      <c r="D62" s="6"/>
      <c r="E62" s="25"/>
      <c r="F62" s="6" t="s">
        <v>20</v>
      </c>
      <c r="G62" s="9"/>
      <c r="H62" s="9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x14ac:dyDescent="0.25">
      <c r="A63" s="6"/>
      <c r="B63" s="6"/>
      <c r="C63" s="6"/>
      <c r="D63" s="6"/>
      <c r="F63" s="6"/>
      <c r="G63" s="9"/>
      <c r="H63" s="9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x14ac:dyDescent="0.25">
      <c r="A64" s="6"/>
      <c r="B64" s="6"/>
      <c r="C64" s="6"/>
      <c r="D64" s="6"/>
      <c r="E64" s="7" t="s">
        <v>27</v>
      </c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6"/>
      <c r="V64" s="6"/>
      <c r="W64" s="6"/>
      <c r="X64" s="6"/>
      <c r="Y64" s="6"/>
    </row>
    <row r="65" spans="1:25" x14ac:dyDescent="0.25">
      <c r="A65" s="6"/>
      <c r="B65" s="6"/>
      <c r="C65" s="6"/>
      <c r="D65" s="6"/>
      <c r="E65" s="6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6"/>
      <c r="V65" s="6"/>
      <c r="W65" s="6"/>
      <c r="X65" s="6"/>
      <c r="Y65" s="6"/>
    </row>
    <row r="66" spans="1:25" x14ac:dyDescent="0.25">
      <c r="A66" s="6"/>
      <c r="B66" s="6"/>
      <c r="C66" s="6"/>
      <c r="D66" s="6"/>
      <c r="E66" s="27" t="s">
        <v>33</v>
      </c>
      <c r="F66" s="6"/>
      <c r="G66" s="6"/>
      <c r="H66" s="6"/>
      <c r="I66" s="6" t="s">
        <v>38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x14ac:dyDescent="0.25">
      <c r="A67" s="6"/>
      <c r="B67" s="6"/>
      <c r="C67" s="6"/>
      <c r="D67" s="6"/>
      <c r="F67" s="6"/>
      <c r="G67" s="6"/>
      <c r="H67" s="6"/>
      <c r="I67" s="6" t="s">
        <v>34</v>
      </c>
      <c r="J67" s="6" t="s">
        <v>36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x14ac:dyDescent="0.25">
      <c r="A68" s="6"/>
      <c r="B68" s="6"/>
      <c r="C68" s="6"/>
      <c r="D68" s="6"/>
      <c r="F68" s="6"/>
      <c r="G68" s="6"/>
      <c r="H68" s="6"/>
      <c r="I68" s="6" t="s">
        <v>35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x14ac:dyDescent="0.25">
      <c r="A69" s="6"/>
      <c r="B69" s="6"/>
      <c r="C69" s="6"/>
      <c r="D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.75" x14ac:dyDescent="0.3">
      <c r="A70" s="6"/>
      <c r="B70" s="6"/>
      <c r="C70" s="6"/>
      <c r="D70" s="6"/>
      <c r="E70" s="7" t="s">
        <v>28</v>
      </c>
      <c r="F70" s="1"/>
      <c r="G70" s="1"/>
      <c r="H70" s="1"/>
      <c r="I70" s="1" t="s">
        <v>29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6"/>
      <c r="V70" s="6"/>
      <c r="W70" s="6"/>
      <c r="X70" s="6"/>
      <c r="Y70" s="6"/>
    </row>
    <row r="71" spans="1:25" x14ac:dyDescent="0.25">
      <c r="I71" s="6" t="s">
        <v>30</v>
      </c>
    </row>
    <row r="72" spans="1:25" x14ac:dyDescent="0.25">
      <c r="I72" s="11" t="s">
        <v>31</v>
      </c>
    </row>
  </sheetData>
  <mergeCells count="3">
    <mergeCell ref="B3:E3"/>
    <mergeCell ref="B17:E17"/>
    <mergeCell ref="B38:E3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7:E30"/>
  <sheetViews>
    <sheetView workbookViewId="0">
      <selection activeCell="M12" sqref="M12:M13"/>
    </sheetView>
  </sheetViews>
  <sheetFormatPr defaultRowHeight="15" x14ac:dyDescent="0.25"/>
  <cols>
    <col min="5" max="5" width="23.7109375" customWidth="1"/>
    <col min="6" max="6" width="40.85546875" customWidth="1"/>
  </cols>
  <sheetData>
    <row r="7" spans="5:5" x14ac:dyDescent="0.25">
      <c r="E7" s="3">
        <v>4984000</v>
      </c>
    </row>
    <row r="8" spans="5:5" x14ac:dyDescent="0.25">
      <c r="E8" s="3">
        <v>6790000</v>
      </c>
    </row>
    <row r="9" spans="5:5" x14ac:dyDescent="0.25">
      <c r="E9" s="2">
        <v>0.26600000000000001</v>
      </c>
    </row>
    <row r="10" spans="5:5" x14ac:dyDescent="0.25">
      <c r="E10" s="3">
        <f>E8*E9</f>
        <v>1806140</v>
      </c>
    </row>
    <row r="11" spans="5:5" x14ac:dyDescent="0.25">
      <c r="E11" s="3">
        <f>E7+E10</f>
        <v>6790140</v>
      </c>
    </row>
    <row r="14" spans="5:5" x14ac:dyDescent="0.25">
      <c r="E14">
        <f>E7/E8</f>
        <v>0.73402061855670098</v>
      </c>
    </row>
    <row r="15" spans="5:5" x14ac:dyDescent="0.25">
      <c r="E15">
        <f>1-E14</f>
        <v>0.26597938144329902</v>
      </c>
    </row>
    <row r="19" spans="5:5" x14ac:dyDescent="0.25">
      <c r="E19" s="3">
        <v>6790000</v>
      </c>
    </row>
    <row r="20" spans="5:5" x14ac:dyDescent="0.25">
      <c r="E20" s="3">
        <v>7120000</v>
      </c>
    </row>
    <row r="21" spans="5:5" x14ac:dyDescent="0.25">
      <c r="E21" s="4">
        <f>E20-E19</f>
        <v>330000</v>
      </c>
    </row>
    <row r="22" spans="5:5" x14ac:dyDescent="0.25">
      <c r="E22" s="5">
        <f>E21/E20</f>
        <v>4.6348314606741575E-2</v>
      </c>
    </row>
    <row r="23" spans="5:5" x14ac:dyDescent="0.25">
      <c r="E23">
        <f>E19/E20</f>
        <v>0.9536516853932584</v>
      </c>
    </row>
    <row r="24" spans="5:5" x14ac:dyDescent="0.25">
      <c r="E24">
        <f>1-E23</f>
        <v>4.6348314606741603E-2</v>
      </c>
    </row>
    <row r="27" spans="5:5" x14ac:dyDescent="0.25">
      <c r="E27" s="3">
        <v>25577060</v>
      </c>
    </row>
    <row r="28" spans="5:5" x14ac:dyDescent="0.25">
      <c r="E28" s="3">
        <v>26889202</v>
      </c>
    </row>
    <row r="29" spans="5:5" x14ac:dyDescent="0.25">
      <c r="E29" s="4">
        <f>E28-E27</f>
        <v>1312142</v>
      </c>
    </row>
    <row r="30" spans="5:5" x14ac:dyDescent="0.25">
      <c r="E30" s="5">
        <f>E29/E28</f>
        <v>4.8798101185747352E-2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Salvatori</dc:creator>
  <cp:lastModifiedBy>mauro</cp:lastModifiedBy>
  <dcterms:created xsi:type="dcterms:W3CDTF">2016-04-07T15:00:09Z</dcterms:created>
  <dcterms:modified xsi:type="dcterms:W3CDTF">2017-03-28T08:38:19Z</dcterms:modified>
</cp:coreProperties>
</file>