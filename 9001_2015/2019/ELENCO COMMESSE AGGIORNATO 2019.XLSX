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uro\Desktop\QUALITA 2019\"/>
    </mc:Choice>
  </mc:AlternateContent>
  <xr:revisionPtr revIDLastSave="0" documentId="13_ncr:1_{5CC90D3D-D0B9-4226-B0EC-FA112EE61ECA}" xr6:coauthVersionLast="43" xr6:coauthVersionMax="43" xr10:uidLastSave="{00000000-0000-0000-0000-000000000000}"/>
  <bookViews>
    <workbookView xWindow="-120" yWindow="-120" windowWidth="29040" windowHeight="16440" xr2:uid="{00000000-000D-0000-FFFF-FFFF00000000}"/>
  </bookViews>
  <sheets>
    <sheet name="Foglio1" sheetId="1" r:id="rId1"/>
    <sheet name="Foglio2" sheetId="2" r:id="rId2"/>
    <sheet name="Foglio3" sheetId="3" r:id="rId3"/>
  </sheets>
  <calcPr calcId="181029"/>
</workbook>
</file>

<file path=xl/calcChain.xml><?xml version="1.0" encoding="utf-8"?>
<calcChain xmlns="http://schemas.openxmlformats.org/spreadsheetml/2006/main">
  <c r="Z112" i="1" l="1"/>
  <c r="Z91" i="1" l="1"/>
  <c r="Z70" i="1"/>
  <c r="V36" i="1" l="1"/>
  <c r="R36" i="1"/>
  <c r="Z36" i="1" s="1"/>
  <c r="V14" i="1"/>
  <c r="R14" i="1"/>
  <c r="Z14" i="1" s="1"/>
  <c r="E29" i="2" l="1"/>
  <c r="E30" i="2" s="1"/>
  <c r="E23" i="2"/>
  <c r="E24" i="2" s="1"/>
  <c r="E21" i="2"/>
  <c r="E22" i="2" s="1"/>
  <c r="E14" i="2"/>
  <c r="E15" i="2" s="1"/>
  <c r="E10" i="2"/>
  <c r="E11" i="2" s="1"/>
</calcChain>
</file>

<file path=xl/sharedStrings.xml><?xml version="1.0" encoding="utf-8"?>
<sst xmlns="http://schemas.openxmlformats.org/spreadsheetml/2006/main" count="516" uniqueCount="114">
  <si>
    <t>DIREZIONE LAVORI</t>
  </si>
  <si>
    <t>D.LGS 81/08</t>
  </si>
  <si>
    <t>PROJECT E Construction Management</t>
  </si>
  <si>
    <t>PROGETTAZIONE</t>
  </si>
  <si>
    <t>CONSULENZE, STIME E PERIZIE</t>
  </si>
  <si>
    <t>VERIFICHE AI SENSI DISCIPLINA LL.PP</t>
  </si>
  <si>
    <t>M.584 - ABITICOOP</t>
  </si>
  <si>
    <t>M.586 - PALAZZO SIRIGNANO</t>
  </si>
  <si>
    <t>M.587 - CASTEL LOMBARDO</t>
  </si>
  <si>
    <t>N</t>
  </si>
  <si>
    <t>A</t>
  </si>
  <si>
    <t>PR</t>
  </si>
  <si>
    <t>LC</t>
  </si>
  <si>
    <t>M.588 - AAREAL PANCIATICHI</t>
  </si>
  <si>
    <t>M.589 - AAREAL COMO - BRAVETTA</t>
  </si>
  <si>
    <t>M.591 - AAREAL VASCA NAVALE</t>
  </si>
  <si>
    <t>M.593 - FIESOLE</t>
  </si>
  <si>
    <t>M. 594 - FONDO GAMMA</t>
  </si>
  <si>
    <t>M. 595 - STELLARIA</t>
  </si>
  <si>
    <t>VF</t>
  </si>
  <si>
    <t>COMMESE ANCORA ATTIVE</t>
  </si>
  <si>
    <t>M.596 - RAI TEULADA</t>
  </si>
  <si>
    <t>M. 597 VEGAGEST CAGLIARI E NAPOLI</t>
  </si>
  <si>
    <t>M. 598 VILLA DEL ROSARIO</t>
  </si>
  <si>
    <t>M.599 AAREAL 4</t>
  </si>
  <si>
    <t>M. 600 PERIZIA CARAVAGGIO</t>
  </si>
  <si>
    <t>M.601 - RAI TEULADA CPI</t>
  </si>
  <si>
    <t>N = NUMERO PROGRESSIVO</t>
  </si>
  <si>
    <t>A = ACQUISIZIONE</t>
  </si>
  <si>
    <t>PR= RAMPINI</t>
  </si>
  <si>
    <t>VF = FAGGIANI</t>
  </si>
  <si>
    <t>LC = COLETTI</t>
  </si>
  <si>
    <t>T</t>
  </si>
  <si>
    <t>T = TIPO ACQUISIZIONE</t>
  </si>
  <si>
    <t>LP = INCARICO DA LISTA</t>
  </si>
  <si>
    <t>GA = GARA</t>
  </si>
  <si>
    <t>(Provveditorato o altri enti dove ci siamo iscritti)</t>
  </si>
  <si>
    <t>LP</t>
  </si>
  <si>
    <t>ID= INCARICO DIRETTO</t>
  </si>
  <si>
    <t>ID</t>
  </si>
  <si>
    <t>M- 602 AAREAL VIA GRAMSCI</t>
  </si>
  <si>
    <t>M- 603 GARAGE S. FABIANO</t>
  </si>
  <si>
    <t>M- 604 PORTA PINCIANA</t>
  </si>
  <si>
    <t>M. 606 VILLA SERENA</t>
  </si>
  <si>
    <t>M- 607 GORLA</t>
  </si>
  <si>
    <t>M- 608 TINTORETTO</t>
  </si>
  <si>
    <t>M- 610 MERCADANTE- TERAMO</t>
  </si>
  <si>
    <t>M.611 - VERONA APC</t>
  </si>
  <si>
    <t>M. 612 MEF LARGO LEOPARDI</t>
  </si>
  <si>
    <t>M.613 - RAI SALARIO 1041</t>
  </si>
  <si>
    <t>M.614 - RAI POLETTO</t>
  </si>
  <si>
    <t>M- 615 MA PROVVIDENZA</t>
  </si>
  <si>
    <t>M- 617 COLLAUDO OFTALMICO</t>
  </si>
  <si>
    <t>M- 619 ALIMENA ANTOLISE</t>
  </si>
  <si>
    <t>M-620 GABEL</t>
  </si>
  <si>
    <t>M-621 SAN SEVERO</t>
  </si>
  <si>
    <t>M-622 FINEDIL</t>
  </si>
  <si>
    <t>M. 623 TORRI IN PIETRA</t>
  </si>
  <si>
    <t>GA</t>
  </si>
  <si>
    <t>M.560 - BASIGLIO</t>
  </si>
  <si>
    <t>M.569 - IMBRA</t>
  </si>
  <si>
    <t>M.624 - ITALIA TURISMO</t>
  </si>
  <si>
    <t>M.625 - RAI SAXA PIANO CASA</t>
  </si>
  <si>
    <t>M-626- SIMERI CRICHI</t>
  </si>
  <si>
    <t>M- 627 FONDO GAMMA MESAGNE 2</t>
  </si>
  <si>
    <t>M-628 LIVORNO</t>
  </si>
  <si>
    <t>M = MODUS</t>
  </si>
  <si>
    <t>M</t>
  </si>
  <si>
    <t>M- 629 AURORA REP</t>
  </si>
  <si>
    <t>M - 630 AAREAL 5</t>
  </si>
  <si>
    <t>M - 631 - ANREA MANCINI</t>
  </si>
  <si>
    <t>M - 632 AAREA FINLEONARDO</t>
  </si>
  <si>
    <t>M - 633 VIA XXIV MAGGIO</t>
  </si>
  <si>
    <t>M. 634 AURORA FONDO GRECO</t>
  </si>
  <si>
    <t>M - 635 ARCOBALENO</t>
  </si>
  <si>
    <t>M - 636 BORTOLOTTI</t>
  </si>
  <si>
    <t>M - 637 VIGLIENA PITTELLI</t>
  </si>
  <si>
    <t>M - 638 AAREAL 6</t>
  </si>
  <si>
    <t>M - 639 DEMOFONTE (AAreal)</t>
  </si>
  <si>
    <t>M - 640 NUVOLA</t>
  </si>
  <si>
    <t>M - 641 APC</t>
  </si>
  <si>
    <t>M - 642 - AAREAL BRESCIA</t>
  </si>
  <si>
    <t>M - 643 MERF MARCO POLO</t>
  </si>
  <si>
    <t>M - 644 AURORA ATLANTE</t>
  </si>
  <si>
    <t>MS</t>
  </si>
  <si>
    <t>M- 646 - VALLE VERDE - LUXOR</t>
  </si>
  <si>
    <t>M - 647 - AAREAL VIA CAVOUR</t>
  </si>
  <si>
    <t>M - 648 - AAREAL  - ROMA TRE - BESCIA</t>
  </si>
  <si>
    <t>M - 650 - ENAV montacarichi</t>
  </si>
  <si>
    <t>M - 651 - RAI POLETTO</t>
  </si>
  <si>
    <t>M - 649  - AURORA MIKE</t>
  </si>
  <si>
    <t xml:space="preserve">M - 652  - AURORA WHISKEY </t>
  </si>
  <si>
    <t>M - 653  - AURORA QUEBEC - ROMEO</t>
  </si>
  <si>
    <t>M - 654 RAI SALARIO 2 SDF</t>
  </si>
  <si>
    <t>M - 655 ENAV ACC</t>
  </si>
  <si>
    <t>M - 656 - GROTTAROSSA</t>
  </si>
  <si>
    <t>M - 653  - INDIA</t>
  </si>
  <si>
    <t>M - 658 - SERVER FARM SAXA</t>
  </si>
  <si>
    <t>M - 662 USA BOCCACCIO</t>
  </si>
  <si>
    <t>M- 625 - RAI SAXA PIANO CASA</t>
  </si>
  <si>
    <t>M - 617 COLLAUDO OFTALMICO</t>
  </si>
  <si>
    <t xml:space="preserve">  </t>
  </si>
  <si>
    <t>M - 660 AAREAL 7</t>
  </si>
  <si>
    <t>M - FINEDIL 2</t>
  </si>
  <si>
    <t>M - 633 FINGIEMME 2019</t>
  </si>
  <si>
    <t>M - 671 ARCOBALENO 2</t>
  </si>
  <si>
    <t>M - 664 S.ANGELO OUTLET PESCARA</t>
  </si>
  <si>
    <t>M - 665 AAREAL 8</t>
  </si>
  <si>
    <t>M - 666 FINLEONARDO 2019</t>
  </si>
  <si>
    <t>M - 667 RAI DELLE VITTORIE</t>
  </si>
  <si>
    <t>M - 668/1 RAI STUDI DEAR FACCIATE</t>
  </si>
  <si>
    <t>M - 670 AAREAL CASTENEDOLO - BRESCIA</t>
  </si>
  <si>
    <r>
      <t xml:space="preserve">M - 668/2 RAI STUDI DEAR </t>
    </r>
    <r>
      <rPr>
        <sz val="10"/>
        <color theme="1"/>
        <rFont val="Calibri"/>
        <family val="2"/>
        <scheme val="minor"/>
      </rPr>
      <t>COLLEGAMENTI CENTRALI</t>
    </r>
  </si>
  <si>
    <t>M - 669 RAI RILIEVI IMPIANTI SAXA RUBRA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</si>
</sst>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€&quot;\ * #,##0.00_-;\-&quot;€&quot;\ * #,##0.00_-;_-&quot;€&quot;\ * &quot;-&quot;??_-;_-@_-"/>
    <numFmt numFmtId="164" formatCode="0.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 tint="-0.499984740745262"/>
      <name val="Trebuchet MS"/>
      <family val="2"/>
    </font>
    <font>
      <sz val="10"/>
      <name val="Trebuchet MS"/>
      <family val="2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9">
    <xf numFmtId="0" fontId="0" fillId="0" borderId="0" xfId="0"/>
    <xf numFmtId="4" fontId="4" fillId="0" borderId="0" xfId="0" applyNumberFormat="1" applyFont="1" applyBorder="1"/>
    <xf numFmtId="10" fontId="0" fillId="0" borderId="0" xfId="0" applyNumberFormat="1"/>
    <xf numFmtId="44" fontId="0" fillId="0" borderId="0" xfId="2" applyFont="1"/>
    <xf numFmtId="44" fontId="0" fillId="0" borderId="0" xfId="0" applyNumberFormat="1"/>
    <xf numFmtId="10" fontId="0" fillId="0" borderId="0" xfId="1" applyNumberFormat="1" applyFont="1"/>
    <xf numFmtId="0" fontId="0" fillId="0" borderId="0" xfId="0" applyBorder="1"/>
    <xf numFmtId="0" fontId="2" fillId="0" borderId="0" xfId="0" applyFont="1" applyBorder="1"/>
    <xf numFmtId="10" fontId="0" fillId="0" borderId="0" xfId="0" applyNumberFormat="1" applyBorder="1" applyAlignment="1">
      <alignment horizontal="center"/>
    </xf>
    <xf numFmtId="9" fontId="0" fillId="0" borderId="0" xfId="0" applyNumberFormat="1" applyBorder="1"/>
    <xf numFmtId="164" fontId="0" fillId="0" borderId="0" xfId="0" applyNumberFormat="1" applyBorder="1" applyAlignment="1">
      <alignment horizontal="center"/>
    </xf>
    <xf numFmtId="0" fontId="0" fillId="0" borderId="0" xfId="0" applyFill="1" applyBorder="1"/>
    <xf numFmtId="0" fontId="5" fillId="2" borderId="0" xfId="0" applyFont="1" applyFill="1" applyBorder="1"/>
    <xf numFmtId="0" fontId="0" fillId="0" borderId="1" xfId="0" applyFont="1" applyBorder="1"/>
    <xf numFmtId="0" fontId="0" fillId="0" borderId="1" xfId="0" applyBorder="1"/>
    <xf numFmtId="4" fontId="4" fillId="0" borderId="1" xfId="0" applyNumberFormat="1" applyFont="1" applyBorder="1"/>
    <xf numFmtId="3" fontId="4" fillId="0" borderId="1" xfId="0" applyNumberFormat="1" applyFont="1" applyBorder="1"/>
    <xf numFmtId="4" fontId="3" fillId="0" borderId="1" xfId="0" applyNumberFormat="1" applyFont="1" applyBorder="1"/>
    <xf numFmtId="0" fontId="0" fillId="0" borderId="1" xfId="0" applyFill="1" applyBorder="1"/>
    <xf numFmtId="0" fontId="2" fillId="0" borderId="1" xfId="0" applyFont="1" applyBorder="1" applyAlignment="1">
      <alignment wrapText="1"/>
    </xf>
    <xf numFmtId="0" fontId="0" fillId="0" borderId="1" xfId="0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10" fontId="0" fillId="0" borderId="1" xfId="0" applyNumberFormat="1" applyBorder="1" applyAlignment="1">
      <alignment horizontal="center"/>
    </xf>
    <xf numFmtId="9" fontId="0" fillId="0" borderId="1" xfId="0" applyNumberFormat="1" applyBorder="1"/>
    <xf numFmtId="0" fontId="0" fillId="3" borderId="1" xfId="0" applyFill="1" applyBorder="1"/>
    <xf numFmtId="0" fontId="0" fillId="3" borderId="0" xfId="0" applyFill="1" applyBorder="1"/>
    <xf numFmtId="0" fontId="5" fillId="2" borderId="0" xfId="0" applyFont="1" applyFill="1" applyBorder="1" applyAlignment="1">
      <alignment horizontal="center"/>
    </xf>
    <xf numFmtId="0" fontId="2" fillId="0" borderId="0" xfId="0" applyFont="1"/>
    <xf numFmtId="0" fontId="0" fillId="0" borderId="1" xfId="0" applyFont="1" applyBorder="1" applyAlignment="1">
      <alignment wrapText="1"/>
    </xf>
    <xf numFmtId="0" fontId="0" fillId="0" borderId="1" xfId="0" applyFont="1" applyFill="1" applyBorder="1"/>
    <xf numFmtId="3" fontId="4" fillId="0" borderId="1" xfId="0" applyNumberFormat="1" applyFont="1" applyFill="1" applyBorder="1"/>
    <xf numFmtId="0" fontId="0" fillId="0" borderId="1" xfId="0" applyFill="1" applyBorder="1" applyAlignment="1">
      <alignment horizontal="center" vertical="center"/>
    </xf>
    <xf numFmtId="4" fontId="4" fillId="0" borderId="1" xfId="0" applyNumberFormat="1" applyFont="1" applyFill="1" applyBorder="1"/>
    <xf numFmtId="0" fontId="2" fillId="0" borderId="1" xfId="0" applyFont="1" applyFill="1" applyBorder="1" applyAlignment="1">
      <alignment wrapText="1"/>
    </xf>
    <xf numFmtId="0" fontId="0" fillId="0" borderId="1" xfId="0" applyFont="1" applyFill="1" applyBorder="1" applyAlignment="1">
      <alignment wrapText="1"/>
    </xf>
    <xf numFmtId="10" fontId="0" fillId="0" borderId="1" xfId="1" applyNumberFormat="1" applyFont="1" applyFill="1" applyBorder="1" applyAlignment="1">
      <alignment horizontal="center" vertical="center"/>
    </xf>
    <xf numFmtId="10" fontId="0" fillId="0" borderId="1" xfId="0" applyNumberFormat="1" applyFill="1" applyBorder="1" applyAlignment="1">
      <alignment horizontal="center"/>
    </xf>
    <xf numFmtId="9" fontId="0" fillId="0" borderId="1" xfId="0" applyNumberFormat="1" applyFill="1" applyBorder="1"/>
    <xf numFmtId="0" fontId="6" fillId="2" borderId="0" xfId="0" applyFont="1" applyFill="1" applyBorder="1" applyAlignment="1">
      <alignment horizontal="center"/>
    </xf>
  </cellXfs>
  <cellStyles count="3">
    <cellStyle name="Normale" xfId="0" builtinId="0"/>
    <cellStyle name="Percentuale" xfId="1" builtinId="5"/>
    <cellStyle name="Valuta" xfId="2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Z126"/>
  <sheetViews>
    <sheetView tabSelected="1" topLeftCell="F85" workbookViewId="0">
      <selection activeCell="U117" sqref="U117"/>
    </sheetView>
  </sheetViews>
  <sheetFormatPr defaultRowHeight="15" x14ac:dyDescent="0.25"/>
  <cols>
    <col min="2" max="4" width="4.7109375" customWidth="1"/>
    <col min="5" max="5" width="27" customWidth="1"/>
    <col min="6" max="8" width="4.7109375" customWidth="1"/>
    <col min="9" max="9" width="25.28515625" bestFit="1" customWidth="1"/>
    <col min="10" max="12" width="4.7109375" customWidth="1"/>
    <col min="13" max="13" width="32.140625" customWidth="1"/>
    <col min="14" max="16" width="4.7109375" customWidth="1"/>
    <col min="17" max="17" width="38.7109375" customWidth="1"/>
    <col min="18" max="20" width="4.7109375" customWidth="1"/>
    <col min="21" max="21" width="34.140625" customWidth="1"/>
    <col min="22" max="24" width="4.7109375" customWidth="1"/>
    <col min="25" max="25" width="44.5703125" customWidth="1"/>
  </cols>
  <sheetData>
    <row r="3" spans="1:26" ht="21" x14ac:dyDescent="0.35">
      <c r="A3" s="6"/>
      <c r="B3" s="38">
        <v>2015</v>
      </c>
      <c r="C3" s="38"/>
      <c r="D3" s="38"/>
      <c r="E3" s="38"/>
      <c r="F3" s="6"/>
      <c r="G3" s="6"/>
      <c r="H3" s="6"/>
      <c r="L3" s="6"/>
      <c r="M3" s="6"/>
      <c r="N3" s="6"/>
      <c r="O3" s="6"/>
      <c r="P3" s="6"/>
      <c r="R3" s="6"/>
      <c r="S3" s="6"/>
      <c r="T3" s="6"/>
      <c r="V3" s="6"/>
      <c r="W3" s="6"/>
      <c r="X3" s="6"/>
      <c r="Y3" s="6"/>
    </row>
    <row r="4" spans="1:26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6" x14ac:dyDescent="0.25">
      <c r="A5" s="6"/>
      <c r="B5" s="26" t="s">
        <v>9</v>
      </c>
      <c r="C5" s="26" t="s">
        <v>32</v>
      </c>
      <c r="D5" s="12" t="s">
        <v>10</v>
      </c>
      <c r="E5" s="12" t="s">
        <v>3</v>
      </c>
      <c r="F5" s="26" t="s">
        <v>9</v>
      </c>
      <c r="G5" s="26" t="s">
        <v>32</v>
      </c>
      <c r="H5" s="12" t="s">
        <v>10</v>
      </c>
      <c r="I5" s="12" t="s">
        <v>0</v>
      </c>
      <c r="J5" s="26" t="s">
        <v>9</v>
      </c>
      <c r="K5" s="26" t="s">
        <v>32</v>
      </c>
      <c r="L5" s="12" t="s">
        <v>10</v>
      </c>
      <c r="M5" s="12" t="s">
        <v>1</v>
      </c>
      <c r="N5" s="26" t="s">
        <v>9</v>
      </c>
      <c r="O5" s="26" t="s">
        <v>32</v>
      </c>
      <c r="P5" s="12" t="s">
        <v>10</v>
      </c>
      <c r="Q5" s="12" t="s">
        <v>4</v>
      </c>
      <c r="R5" s="26" t="s">
        <v>9</v>
      </c>
      <c r="S5" s="26" t="s">
        <v>32</v>
      </c>
      <c r="T5" s="12" t="s">
        <v>10</v>
      </c>
      <c r="U5" s="12" t="s">
        <v>2</v>
      </c>
      <c r="V5" s="26" t="s">
        <v>9</v>
      </c>
      <c r="W5" s="26" t="s">
        <v>32</v>
      </c>
      <c r="X5" s="12" t="s">
        <v>10</v>
      </c>
      <c r="Y5" s="12" t="s">
        <v>5</v>
      </c>
    </row>
    <row r="6" spans="1:26" x14ac:dyDescent="0.25">
      <c r="A6" s="6"/>
      <c r="B6" s="13">
        <v>1</v>
      </c>
      <c r="C6" s="13" t="s">
        <v>39</v>
      </c>
      <c r="D6" s="14" t="s">
        <v>12</v>
      </c>
      <c r="E6" s="24" t="s">
        <v>8</v>
      </c>
      <c r="F6" s="14">
        <v>1</v>
      </c>
      <c r="G6" s="13" t="s">
        <v>39</v>
      </c>
      <c r="H6" s="14" t="s">
        <v>12</v>
      </c>
      <c r="I6" s="24" t="s">
        <v>8</v>
      </c>
      <c r="J6" s="14">
        <v>1</v>
      </c>
      <c r="K6" s="14" t="s">
        <v>37</v>
      </c>
      <c r="L6" s="14" t="s">
        <v>19</v>
      </c>
      <c r="M6" s="24" t="s">
        <v>16</v>
      </c>
      <c r="N6" s="14">
        <v>1</v>
      </c>
      <c r="O6" s="13" t="s">
        <v>39</v>
      </c>
      <c r="P6" s="14" t="s">
        <v>11</v>
      </c>
      <c r="Q6" s="14" t="s">
        <v>6</v>
      </c>
      <c r="R6" s="14"/>
      <c r="S6" s="14"/>
      <c r="T6" s="14"/>
      <c r="U6" s="14"/>
      <c r="V6" s="14"/>
      <c r="W6" s="14"/>
      <c r="X6" s="14"/>
      <c r="Y6" s="14"/>
    </row>
    <row r="7" spans="1:26" ht="15.75" x14ac:dyDescent="0.3">
      <c r="A7" s="6"/>
      <c r="B7" s="13">
        <v>2</v>
      </c>
      <c r="C7" s="13" t="s">
        <v>37</v>
      </c>
      <c r="D7" s="14" t="s">
        <v>19</v>
      </c>
      <c r="E7" s="24" t="s">
        <v>16</v>
      </c>
      <c r="F7" s="15"/>
      <c r="G7" s="15"/>
      <c r="H7" s="15"/>
      <c r="I7" s="15"/>
      <c r="J7" s="15"/>
      <c r="K7" s="15"/>
      <c r="L7" s="15"/>
      <c r="M7" s="15"/>
      <c r="N7" s="16">
        <v>2</v>
      </c>
      <c r="O7" s="13" t="s">
        <v>39</v>
      </c>
      <c r="P7" s="15" t="s">
        <v>11</v>
      </c>
      <c r="Q7" s="14" t="s">
        <v>7</v>
      </c>
      <c r="R7" s="14"/>
      <c r="S7" s="14"/>
      <c r="T7" s="14"/>
      <c r="U7" s="17"/>
      <c r="V7" s="17"/>
      <c r="W7" s="17"/>
      <c r="X7" s="17"/>
      <c r="Y7" s="14"/>
    </row>
    <row r="8" spans="1:26" x14ac:dyDescent="0.25">
      <c r="A8" s="6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>
        <v>3</v>
      </c>
      <c r="O8" s="13" t="s">
        <v>39</v>
      </c>
      <c r="P8" s="18" t="s">
        <v>12</v>
      </c>
      <c r="Q8" s="14" t="s">
        <v>8</v>
      </c>
      <c r="R8" s="14"/>
      <c r="S8" s="14"/>
      <c r="T8" s="14"/>
      <c r="U8" s="14"/>
      <c r="V8" s="14"/>
      <c r="W8" s="14"/>
      <c r="X8" s="14"/>
      <c r="Y8" s="14"/>
    </row>
    <row r="9" spans="1:26" ht="15.75" x14ac:dyDescent="0.3">
      <c r="A9" s="6"/>
      <c r="B9" s="19"/>
      <c r="C9" s="19"/>
      <c r="D9" s="14"/>
      <c r="E9" s="20"/>
      <c r="F9" s="20"/>
      <c r="G9" s="20"/>
      <c r="H9" s="20"/>
      <c r="I9" s="14"/>
      <c r="J9" s="14"/>
      <c r="K9" s="14"/>
      <c r="L9" s="14"/>
      <c r="M9" s="14"/>
      <c r="N9" s="18">
        <v>4</v>
      </c>
      <c r="O9" s="13" t="s">
        <v>39</v>
      </c>
      <c r="P9" s="15" t="s">
        <v>11</v>
      </c>
      <c r="Q9" s="18" t="s">
        <v>13</v>
      </c>
      <c r="R9" s="14"/>
      <c r="S9" s="14"/>
      <c r="T9" s="14"/>
      <c r="U9" s="14"/>
      <c r="V9" s="14"/>
      <c r="W9" s="14"/>
      <c r="X9" s="14"/>
      <c r="Y9" s="14"/>
    </row>
    <row r="10" spans="1:26" ht="15.75" x14ac:dyDescent="0.3">
      <c r="A10" s="6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>
        <v>5</v>
      </c>
      <c r="O10" s="13" t="s">
        <v>39</v>
      </c>
      <c r="P10" s="15" t="s">
        <v>11</v>
      </c>
      <c r="Q10" s="18" t="s">
        <v>14</v>
      </c>
      <c r="R10" s="14"/>
      <c r="S10" s="14"/>
      <c r="T10" s="14"/>
      <c r="U10" s="14"/>
      <c r="V10" s="14"/>
      <c r="W10" s="14"/>
      <c r="X10" s="14"/>
      <c r="Y10" s="14"/>
    </row>
    <row r="11" spans="1:26" ht="15.75" x14ac:dyDescent="0.3">
      <c r="A11" s="6"/>
      <c r="B11" s="19"/>
      <c r="C11" s="19"/>
      <c r="D11" s="14"/>
      <c r="E11" s="21"/>
      <c r="F11" s="21"/>
      <c r="G11" s="21"/>
      <c r="H11" s="21"/>
      <c r="I11" s="14"/>
      <c r="J11" s="14"/>
      <c r="K11" s="14"/>
      <c r="L11" s="14"/>
      <c r="M11" s="14"/>
      <c r="N11" s="18">
        <v>6</v>
      </c>
      <c r="O11" s="13" t="s">
        <v>39</v>
      </c>
      <c r="P11" s="15" t="s">
        <v>11</v>
      </c>
      <c r="Q11" s="18" t="s">
        <v>15</v>
      </c>
      <c r="R11" s="14"/>
      <c r="S11" s="14"/>
      <c r="T11" s="14"/>
      <c r="U11" s="14"/>
      <c r="V11" s="14"/>
      <c r="W11" s="14"/>
      <c r="X11" s="14"/>
      <c r="Y11" s="14"/>
    </row>
    <row r="12" spans="1:26" ht="15.75" x14ac:dyDescent="0.3">
      <c r="A12" s="6"/>
      <c r="B12" s="14"/>
      <c r="C12" s="14"/>
      <c r="D12" s="14"/>
      <c r="E12" s="22"/>
      <c r="F12" s="22"/>
      <c r="G12" s="22"/>
      <c r="H12" s="22"/>
      <c r="I12" s="14"/>
      <c r="J12" s="14"/>
      <c r="K12" s="14"/>
      <c r="L12" s="14"/>
      <c r="M12" s="14"/>
      <c r="N12" s="14">
        <v>7</v>
      </c>
      <c r="O12" s="13" t="s">
        <v>39</v>
      </c>
      <c r="P12" s="15" t="s">
        <v>11</v>
      </c>
      <c r="Q12" s="18" t="s">
        <v>17</v>
      </c>
      <c r="R12" s="14"/>
      <c r="S12" s="14"/>
      <c r="T12" s="14"/>
      <c r="U12" s="14"/>
      <c r="V12" s="14"/>
      <c r="W12" s="14"/>
      <c r="X12" s="14"/>
      <c r="Y12" s="14"/>
    </row>
    <row r="13" spans="1:26" ht="15.75" x14ac:dyDescent="0.3">
      <c r="A13" s="6"/>
      <c r="B13" s="14"/>
      <c r="C13" s="14"/>
      <c r="D13" s="14"/>
      <c r="E13" s="23"/>
      <c r="F13" s="23"/>
      <c r="G13" s="23"/>
      <c r="H13" s="23"/>
      <c r="I13" s="14"/>
      <c r="J13" s="14"/>
      <c r="K13" s="14"/>
      <c r="L13" s="14"/>
      <c r="M13" s="14"/>
      <c r="N13" s="18">
        <v>8</v>
      </c>
      <c r="O13" s="13" t="s">
        <v>39</v>
      </c>
      <c r="P13" s="15" t="s">
        <v>11</v>
      </c>
      <c r="Q13" s="24" t="s">
        <v>18</v>
      </c>
      <c r="R13" s="14"/>
      <c r="S13" s="14"/>
      <c r="T13" s="14"/>
      <c r="U13" s="14"/>
      <c r="V13" s="14"/>
      <c r="W13" s="14"/>
      <c r="X13" s="14"/>
      <c r="Y13" s="14"/>
    </row>
    <row r="14" spans="1:26" x14ac:dyDescent="0.25">
      <c r="A14" s="6"/>
      <c r="B14" s="6">
        <v>2</v>
      </c>
      <c r="C14" s="6"/>
      <c r="D14" s="6"/>
      <c r="E14" s="10"/>
      <c r="F14" s="6">
        <v>1</v>
      </c>
      <c r="G14" s="6"/>
      <c r="H14" s="10"/>
      <c r="I14" s="10"/>
      <c r="J14" s="11">
        <v>1</v>
      </c>
      <c r="K14" s="11"/>
      <c r="L14" s="10"/>
      <c r="M14" s="10"/>
      <c r="N14" s="11">
        <v>8</v>
      </c>
      <c r="O14" s="11"/>
      <c r="P14" s="10"/>
      <c r="Q14" s="10"/>
      <c r="R14" s="6">
        <f>SUM(R6:R13)</f>
        <v>0</v>
      </c>
      <c r="S14" s="6"/>
      <c r="T14" s="10"/>
      <c r="U14" s="6"/>
      <c r="V14" s="6">
        <f>SUM(V6:V13)</f>
        <v>0</v>
      </c>
      <c r="W14" s="6"/>
      <c r="X14" s="6"/>
      <c r="Y14" s="6"/>
      <c r="Z14">
        <f>SUM(B14:Y14)</f>
        <v>12</v>
      </c>
    </row>
    <row r="15" spans="1:26" x14ac:dyDescent="0.25">
      <c r="A15" s="6"/>
      <c r="B15" s="6"/>
      <c r="C15" s="6"/>
      <c r="D15" s="6"/>
      <c r="F15" s="6"/>
      <c r="G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spans="1:26" ht="15.75" x14ac:dyDescent="0.3">
      <c r="A16" s="6"/>
      <c r="B16" s="6"/>
      <c r="C16" s="6"/>
      <c r="D16" s="6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6"/>
      <c r="V16" s="6"/>
      <c r="W16" s="6"/>
      <c r="X16" s="6"/>
      <c r="Y16" s="6"/>
    </row>
    <row r="17" spans="1:25" ht="21" x14ac:dyDescent="0.35">
      <c r="A17" s="6"/>
      <c r="B17" s="38">
        <v>2016</v>
      </c>
      <c r="C17" s="38"/>
      <c r="D17" s="38"/>
      <c r="E17" s="38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spans="1:25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spans="1:25" x14ac:dyDescent="0.25">
      <c r="A19" s="6"/>
      <c r="B19" s="26" t="s">
        <v>9</v>
      </c>
      <c r="C19" s="26" t="s">
        <v>32</v>
      </c>
      <c r="D19" s="12" t="s">
        <v>10</v>
      </c>
      <c r="E19" s="12" t="s">
        <v>3</v>
      </c>
      <c r="F19" s="26" t="s">
        <v>9</v>
      </c>
      <c r="G19" s="26" t="s">
        <v>32</v>
      </c>
      <c r="H19" s="12" t="s">
        <v>10</v>
      </c>
      <c r="I19" s="12" t="s">
        <v>0</v>
      </c>
      <c r="J19" s="26" t="s">
        <v>9</v>
      </c>
      <c r="K19" s="26" t="s">
        <v>32</v>
      </c>
      <c r="L19" s="12" t="s">
        <v>10</v>
      </c>
      <c r="M19" s="12" t="s">
        <v>1</v>
      </c>
      <c r="N19" s="26" t="s">
        <v>9</v>
      </c>
      <c r="O19" s="26" t="s">
        <v>32</v>
      </c>
      <c r="P19" s="12" t="s">
        <v>10</v>
      </c>
      <c r="Q19" s="12" t="s">
        <v>4</v>
      </c>
      <c r="R19" s="26" t="s">
        <v>9</v>
      </c>
      <c r="S19" s="26" t="s">
        <v>32</v>
      </c>
      <c r="T19" s="12" t="s">
        <v>10</v>
      </c>
      <c r="U19" s="12" t="s">
        <v>2</v>
      </c>
      <c r="V19" s="26" t="s">
        <v>9</v>
      </c>
      <c r="W19" s="26" t="s">
        <v>32</v>
      </c>
      <c r="X19" s="12" t="s">
        <v>10</v>
      </c>
      <c r="Y19" s="12" t="s">
        <v>5</v>
      </c>
    </row>
    <row r="20" spans="1:25" ht="15.75" x14ac:dyDescent="0.3">
      <c r="A20" s="6"/>
      <c r="B20" s="13">
        <v>1</v>
      </c>
      <c r="C20" s="14" t="s">
        <v>37</v>
      </c>
      <c r="D20" s="14" t="s">
        <v>12</v>
      </c>
      <c r="E20" s="24" t="s">
        <v>23</v>
      </c>
      <c r="F20" s="14">
        <v>1</v>
      </c>
      <c r="G20" s="14" t="s">
        <v>37</v>
      </c>
      <c r="H20" s="14" t="s">
        <v>12</v>
      </c>
      <c r="I20" s="24" t="s">
        <v>21</v>
      </c>
      <c r="J20" s="14">
        <v>1</v>
      </c>
      <c r="K20" s="14" t="s">
        <v>37</v>
      </c>
      <c r="L20" s="14" t="s">
        <v>12</v>
      </c>
      <c r="M20" s="24" t="s">
        <v>21</v>
      </c>
      <c r="N20" s="14">
        <v>1</v>
      </c>
      <c r="O20" s="13" t="s">
        <v>39</v>
      </c>
      <c r="P20" s="14" t="s">
        <v>11</v>
      </c>
      <c r="Q20" s="24" t="s">
        <v>22</v>
      </c>
      <c r="R20" s="14"/>
      <c r="S20" s="13"/>
      <c r="T20" s="14"/>
      <c r="U20" s="17"/>
      <c r="V20" s="14"/>
      <c r="W20" s="14"/>
      <c r="X20" s="14"/>
      <c r="Y20" s="14"/>
    </row>
    <row r="21" spans="1:25" ht="15.75" x14ac:dyDescent="0.3">
      <c r="A21" s="6"/>
      <c r="B21" s="13">
        <v>2</v>
      </c>
      <c r="C21" s="13" t="s">
        <v>39</v>
      </c>
      <c r="D21" s="14" t="s">
        <v>12</v>
      </c>
      <c r="E21" s="24" t="s">
        <v>43</v>
      </c>
      <c r="F21" s="14">
        <v>2</v>
      </c>
      <c r="G21" s="14" t="s">
        <v>37</v>
      </c>
      <c r="H21" s="14" t="s">
        <v>12</v>
      </c>
      <c r="I21" s="24" t="s">
        <v>47</v>
      </c>
      <c r="J21" s="14">
        <v>2</v>
      </c>
      <c r="K21" s="14" t="s">
        <v>37</v>
      </c>
      <c r="L21" s="14" t="s">
        <v>12</v>
      </c>
      <c r="M21" s="24" t="s">
        <v>26</v>
      </c>
      <c r="N21" s="16">
        <v>2</v>
      </c>
      <c r="O21" s="13" t="s">
        <v>39</v>
      </c>
      <c r="P21" s="14" t="s">
        <v>11</v>
      </c>
      <c r="Q21" s="18" t="s">
        <v>24</v>
      </c>
      <c r="R21" s="14"/>
      <c r="S21" s="14"/>
      <c r="T21" s="14"/>
      <c r="U21" s="17"/>
      <c r="V21" s="17"/>
      <c r="W21" s="17"/>
      <c r="X21" s="17"/>
      <c r="Y21" s="14"/>
    </row>
    <row r="22" spans="1:25" x14ac:dyDescent="0.25">
      <c r="A22" s="6"/>
      <c r="B22" s="13">
        <v>3</v>
      </c>
      <c r="C22" s="14" t="s">
        <v>37</v>
      </c>
      <c r="D22" s="14" t="s">
        <v>19</v>
      </c>
      <c r="E22" s="24" t="s">
        <v>48</v>
      </c>
      <c r="F22" s="14"/>
      <c r="G22" s="14"/>
      <c r="H22" s="14"/>
      <c r="I22" s="14"/>
      <c r="J22" s="14">
        <v>3</v>
      </c>
      <c r="K22" s="14" t="s">
        <v>37</v>
      </c>
      <c r="L22" s="14" t="s">
        <v>12</v>
      </c>
      <c r="M22" s="24" t="s">
        <v>49</v>
      </c>
      <c r="N22" s="14">
        <v>3</v>
      </c>
      <c r="O22" s="13" t="s">
        <v>39</v>
      </c>
      <c r="P22" s="14" t="s">
        <v>12</v>
      </c>
      <c r="Q22" s="18" t="s">
        <v>25</v>
      </c>
      <c r="R22" s="14"/>
      <c r="S22" s="14"/>
      <c r="T22" s="14"/>
      <c r="U22" s="14"/>
      <c r="V22" s="14"/>
      <c r="W22" s="14"/>
      <c r="X22" s="14"/>
      <c r="Y22" s="14"/>
    </row>
    <row r="23" spans="1:25" x14ac:dyDescent="0.25">
      <c r="A23" s="6"/>
      <c r="B23" s="13">
        <v>4</v>
      </c>
      <c r="C23" s="14" t="s">
        <v>37</v>
      </c>
      <c r="D23" s="14" t="s">
        <v>12</v>
      </c>
      <c r="E23" s="24" t="s">
        <v>49</v>
      </c>
      <c r="F23" s="20"/>
      <c r="G23" s="20"/>
      <c r="H23" s="20"/>
      <c r="I23" s="14"/>
      <c r="J23" s="14"/>
      <c r="K23" s="14"/>
      <c r="L23" s="14"/>
      <c r="M23" s="14"/>
      <c r="N23" s="18">
        <v>4</v>
      </c>
      <c r="O23" s="13" t="s">
        <v>39</v>
      </c>
      <c r="P23" s="14" t="s">
        <v>11</v>
      </c>
      <c r="Q23" s="18" t="s">
        <v>40</v>
      </c>
      <c r="R23" s="14"/>
      <c r="S23" s="14"/>
      <c r="T23" s="14"/>
      <c r="U23" s="14"/>
      <c r="V23" s="14"/>
      <c r="W23" s="14"/>
      <c r="X23" s="14"/>
      <c r="Y23" s="14"/>
    </row>
    <row r="24" spans="1:25" ht="15.75" x14ac:dyDescent="0.3">
      <c r="A24" s="6"/>
      <c r="B24" s="13">
        <v>5</v>
      </c>
      <c r="C24" s="14" t="s">
        <v>37</v>
      </c>
      <c r="D24" s="14" t="s">
        <v>12</v>
      </c>
      <c r="E24" s="24" t="s">
        <v>50</v>
      </c>
      <c r="F24" s="14"/>
      <c r="G24" s="14"/>
      <c r="H24" s="14"/>
      <c r="I24" s="14"/>
      <c r="J24" s="14"/>
      <c r="K24" s="14"/>
      <c r="L24" s="14"/>
      <c r="M24" s="14"/>
      <c r="N24" s="14">
        <v>5</v>
      </c>
      <c r="O24" s="13" t="s">
        <v>39</v>
      </c>
      <c r="P24" s="15" t="s">
        <v>19</v>
      </c>
      <c r="Q24" s="24" t="s">
        <v>41</v>
      </c>
      <c r="R24" s="14"/>
      <c r="S24" s="14"/>
      <c r="T24" s="14"/>
      <c r="U24" s="14"/>
      <c r="V24" s="14"/>
      <c r="W24" s="14"/>
      <c r="X24" s="14"/>
      <c r="Y24" s="14"/>
    </row>
    <row r="25" spans="1:25" ht="15.75" x14ac:dyDescent="0.3">
      <c r="A25" s="6"/>
      <c r="B25" s="19"/>
      <c r="C25" s="19"/>
      <c r="D25" s="14"/>
      <c r="E25" s="21"/>
      <c r="F25" s="21"/>
      <c r="G25" s="21"/>
      <c r="H25" s="21"/>
      <c r="I25" s="14"/>
      <c r="J25" s="14"/>
      <c r="K25" s="14"/>
      <c r="L25" s="14"/>
      <c r="M25" s="14"/>
      <c r="N25" s="18">
        <v>6</v>
      </c>
      <c r="O25" s="13" t="s">
        <v>39</v>
      </c>
      <c r="P25" s="15" t="s">
        <v>12</v>
      </c>
      <c r="Q25" s="24" t="s">
        <v>42</v>
      </c>
      <c r="R25" s="14"/>
      <c r="S25" s="14"/>
      <c r="T25" s="14"/>
      <c r="U25" s="14"/>
      <c r="V25" s="14"/>
      <c r="W25" s="14"/>
      <c r="X25" s="14"/>
      <c r="Y25" s="14"/>
    </row>
    <row r="26" spans="1:25" x14ac:dyDescent="0.25">
      <c r="A26" s="6"/>
      <c r="B26" s="14"/>
      <c r="C26" s="14"/>
      <c r="D26" s="14"/>
      <c r="E26" s="22"/>
      <c r="F26" s="22"/>
      <c r="G26" s="22"/>
      <c r="H26" s="22"/>
      <c r="I26" s="14"/>
      <c r="J26" s="14"/>
      <c r="K26" s="14"/>
      <c r="L26" s="14"/>
      <c r="M26" s="14"/>
      <c r="N26" s="14">
        <v>7</v>
      </c>
      <c r="O26" s="14"/>
      <c r="P26" s="14" t="s">
        <v>11</v>
      </c>
      <c r="Q26" s="18" t="s">
        <v>44</v>
      </c>
      <c r="R26" s="14"/>
      <c r="S26" s="14"/>
      <c r="T26" s="14"/>
      <c r="U26" s="14"/>
      <c r="V26" s="14"/>
      <c r="W26" s="14"/>
      <c r="X26" s="14"/>
      <c r="Y26" s="14"/>
    </row>
    <row r="27" spans="1:25" x14ac:dyDescent="0.25">
      <c r="A27" s="6"/>
      <c r="B27" s="14"/>
      <c r="C27" s="14"/>
      <c r="D27" s="14"/>
      <c r="E27" s="22"/>
      <c r="F27" s="22"/>
      <c r="G27" s="22"/>
      <c r="H27" s="22"/>
      <c r="I27" s="14"/>
      <c r="J27" s="14"/>
      <c r="K27" s="14"/>
      <c r="L27" s="14"/>
      <c r="M27" s="14"/>
      <c r="N27" s="18">
        <v>8</v>
      </c>
      <c r="O27" s="13" t="s">
        <v>39</v>
      </c>
      <c r="P27" s="14" t="s">
        <v>11</v>
      </c>
      <c r="Q27" s="18" t="s">
        <v>45</v>
      </c>
      <c r="R27" s="14"/>
      <c r="S27" s="14"/>
      <c r="T27" s="14"/>
      <c r="U27" s="14"/>
      <c r="V27" s="14"/>
      <c r="W27" s="14"/>
      <c r="X27" s="14"/>
      <c r="Y27" s="14"/>
    </row>
    <row r="28" spans="1:25" x14ac:dyDescent="0.25">
      <c r="A28" s="6"/>
      <c r="B28" s="14"/>
      <c r="C28" s="14"/>
      <c r="D28" s="14"/>
      <c r="E28" s="22"/>
      <c r="F28" s="22"/>
      <c r="G28" s="22"/>
      <c r="H28" s="22"/>
      <c r="I28" s="14"/>
      <c r="J28" s="14"/>
      <c r="K28" s="14"/>
      <c r="L28" s="14"/>
      <c r="M28" s="14"/>
      <c r="N28" s="14">
        <v>9</v>
      </c>
      <c r="O28" s="13" t="s">
        <v>39</v>
      </c>
      <c r="P28" s="14" t="s">
        <v>11</v>
      </c>
      <c r="Q28" s="18" t="s">
        <v>46</v>
      </c>
      <c r="R28" s="14"/>
      <c r="S28" s="14"/>
      <c r="T28" s="14"/>
      <c r="U28" s="14"/>
      <c r="V28" s="14"/>
      <c r="W28" s="14"/>
      <c r="X28" s="14"/>
      <c r="Y28" s="14"/>
    </row>
    <row r="29" spans="1:25" ht="15.75" x14ac:dyDescent="0.3">
      <c r="A29" s="6"/>
      <c r="B29" s="14"/>
      <c r="C29" s="14"/>
      <c r="D29" s="14"/>
      <c r="E29" s="22"/>
      <c r="F29" s="22"/>
      <c r="G29" s="22"/>
      <c r="H29" s="22"/>
      <c r="I29" s="14"/>
      <c r="J29" s="14"/>
      <c r="K29" s="14"/>
      <c r="L29" s="14"/>
      <c r="M29" s="14"/>
      <c r="N29" s="18">
        <v>10</v>
      </c>
      <c r="O29" s="14" t="s">
        <v>37</v>
      </c>
      <c r="P29" s="15" t="s">
        <v>19</v>
      </c>
      <c r="Q29" s="24" t="s">
        <v>51</v>
      </c>
      <c r="R29" s="14"/>
      <c r="S29" s="14"/>
      <c r="T29" s="14"/>
      <c r="U29" s="14"/>
      <c r="V29" s="14"/>
      <c r="W29" s="14"/>
      <c r="X29" s="14"/>
      <c r="Y29" s="14"/>
    </row>
    <row r="30" spans="1:25" ht="15.75" x14ac:dyDescent="0.3">
      <c r="A30" s="6"/>
      <c r="B30" s="14"/>
      <c r="C30" s="14"/>
      <c r="D30" s="14"/>
      <c r="E30" s="22"/>
      <c r="F30" s="22"/>
      <c r="G30" s="22"/>
      <c r="H30" s="22"/>
      <c r="I30" s="14"/>
      <c r="J30" s="14"/>
      <c r="K30" s="14"/>
      <c r="L30" s="14"/>
      <c r="M30" s="14"/>
      <c r="N30" s="14">
        <v>11</v>
      </c>
      <c r="O30" s="14" t="s">
        <v>37</v>
      </c>
      <c r="P30" s="15" t="s">
        <v>19</v>
      </c>
      <c r="Q30" s="24" t="s">
        <v>52</v>
      </c>
      <c r="R30" s="14"/>
      <c r="S30" s="14"/>
      <c r="T30" s="14"/>
      <c r="U30" s="14"/>
      <c r="V30" s="14"/>
      <c r="W30" s="14"/>
      <c r="X30" s="14"/>
      <c r="Y30" s="14"/>
    </row>
    <row r="31" spans="1:25" x14ac:dyDescent="0.25">
      <c r="A31" s="6"/>
      <c r="B31" s="14"/>
      <c r="C31" s="14"/>
      <c r="D31" s="14"/>
      <c r="E31" s="22"/>
      <c r="F31" s="22"/>
      <c r="G31" s="22"/>
      <c r="H31" s="22"/>
      <c r="I31" s="14"/>
      <c r="J31" s="14"/>
      <c r="K31" s="14"/>
      <c r="L31" s="14"/>
      <c r="M31" s="14"/>
      <c r="N31" s="18">
        <v>12</v>
      </c>
      <c r="O31" s="13" t="s">
        <v>39</v>
      </c>
      <c r="P31" s="14" t="s">
        <v>11</v>
      </c>
      <c r="Q31" s="18" t="s">
        <v>53</v>
      </c>
      <c r="R31" s="14"/>
      <c r="S31" s="14"/>
      <c r="T31" s="14"/>
      <c r="U31" s="14"/>
      <c r="V31" s="14"/>
      <c r="W31" s="14"/>
      <c r="X31" s="14"/>
      <c r="Y31" s="14"/>
    </row>
    <row r="32" spans="1:25" x14ac:dyDescent="0.25">
      <c r="A32" s="6"/>
      <c r="B32" s="14"/>
      <c r="C32" s="14"/>
      <c r="D32" s="14"/>
      <c r="E32" s="22"/>
      <c r="F32" s="22"/>
      <c r="G32" s="22"/>
      <c r="H32" s="22"/>
      <c r="I32" s="14"/>
      <c r="J32" s="14"/>
      <c r="K32" s="14"/>
      <c r="L32" s="14"/>
      <c r="M32" s="14"/>
      <c r="N32" s="14">
        <v>13</v>
      </c>
      <c r="O32" s="13" t="s">
        <v>39</v>
      </c>
      <c r="P32" s="14" t="s">
        <v>11</v>
      </c>
      <c r="Q32" s="24" t="s">
        <v>54</v>
      </c>
      <c r="R32" s="14"/>
      <c r="S32" s="14"/>
      <c r="T32" s="14"/>
      <c r="U32" s="14"/>
      <c r="V32" s="14"/>
      <c r="W32" s="14"/>
      <c r="X32" s="14"/>
      <c r="Y32" s="14"/>
    </row>
    <row r="33" spans="1:26" x14ac:dyDescent="0.25">
      <c r="A33" s="6"/>
      <c r="B33" s="14"/>
      <c r="C33" s="14"/>
      <c r="D33" s="14"/>
      <c r="E33" s="22"/>
      <c r="F33" s="22"/>
      <c r="G33" s="22"/>
      <c r="H33" s="22"/>
      <c r="I33" s="14"/>
      <c r="J33" s="14"/>
      <c r="K33" s="14"/>
      <c r="L33" s="14"/>
      <c r="M33" s="14"/>
      <c r="N33" s="18">
        <v>14</v>
      </c>
      <c r="O33" s="13" t="s">
        <v>39</v>
      </c>
      <c r="P33" s="14" t="s">
        <v>11</v>
      </c>
      <c r="Q33" s="24" t="s">
        <v>55</v>
      </c>
      <c r="R33" s="14"/>
      <c r="S33" s="14"/>
      <c r="T33" s="14"/>
      <c r="U33" s="14"/>
      <c r="V33" s="14"/>
      <c r="W33" s="14"/>
      <c r="X33" s="14"/>
      <c r="Y33" s="14"/>
    </row>
    <row r="34" spans="1:26" x14ac:dyDescent="0.25">
      <c r="A34" s="6"/>
      <c r="B34" s="14"/>
      <c r="C34" s="14"/>
      <c r="D34" s="14"/>
      <c r="E34" s="22"/>
      <c r="F34" s="22"/>
      <c r="G34" s="22"/>
      <c r="H34" s="22"/>
      <c r="I34" s="14"/>
      <c r="J34" s="14"/>
      <c r="K34" s="14"/>
      <c r="L34" s="14"/>
      <c r="M34" s="14"/>
      <c r="N34" s="14">
        <v>15</v>
      </c>
      <c r="O34" s="13" t="s">
        <v>39</v>
      </c>
      <c r="P34" s="14" t="s">
        <v>11</v>
      </c>
      <c r="Q34" s="24" t="s">
        <v>56</v>
      </c>
      <c r="R34" s="14"/>
      <c r="S34" s="14"/>
      <c r="T34" s="14"/>
      <c r="U34" s="14"/>
      <c r="V34" s="14"/>
      <c r="W34" s="14"/>
      <c r="X34" s="14"/>
      <c r="Y34" s="14"/>
    </row>
    <row r="35" spans="1:26" x14ac:dyDescent="0.25">
      <c r="A35" s="6"/>
      <c r="B35" s="14"/>
      <c r="C35" s="14"/>
      <c r="D35" s="14"/>
      <c r="E35" s="23"/>
      <c r="F35" s="23"/>
      <c r="G35" s="23"/>
      <c r="H35" s="23"/>
      <c r="I35" s="14"/>
      <c r="J35" s="14"/>
      <c r="K35" s="14"/>
      <c r="L35" s="14"/>
      <c r="M35" s="14"/>
      <c r="N35" s="18"/>
      <c r="O35" s="13"/>
      <c r="P35" s="14"/>
      <c r="Q35" s="18"/>
      <c r="R35" s="14"/>
      <c r="S35" s="14"/>
      <c r="T35" s="14"/>
      <c r="U35" s="14"/>
      <c r="V35" s="14"/>
      <c r="W35" s="14"/>
      <c r="X35" s="14"/>
      <c r="Y35" s="14"/>
    </row>
    <row r="36" spans="1:26" x14ac:dyDescent="0.25">
      <c r="A36" s="6"/>
      <c r="B36" s="6">
        <v>5</v>
      </c>
      <c r="C36" s="6"/>
      <c r="D36" s="6"/>
      <c r="E36" s="10"/>
      <c r="F36" s="6">
        <v>2</v>
      </c>
      <c r="G36" s="6"/>
      <c r="H36" s="10"/>
      <c r="I36" s="10"/>
      <c r="J36" s="11">
        <v>3</v>
      </c>
      <c r="K36" s="11"/>
      <c r="L36" s="10"/>
      <c r="M36" s="10"/>
      <c r="N36" s="11">
        <v>15</v>
      </c>
      <c r="O36" s="11"/>
      <c r="P36" s="10"/>
      <c r="Q36" s="10"/>
      <c r="R36" s="6">
        <f>SUM(R20:R35)</f>
        <v>0</v>
      </c>
      <c r="S36" s="6"/>
      <c r="T36" s="10"/>
      <c r="U36" s="6"/>
      <c r="V36" s="6">
        <f>SUM(V20:V35)</f>
        <v>0</v>
      </c>
      <c r="W36" s="6"/>
      <c r="X36" s="6"/>
      <c r="Y36" s="6"/>
      <c r="Z36">
        <f>SUM(B36:Y36)</f>
        <v>25</v>
      </c>
    </row>
    <row r="38" spans="1:26" ht="21" x14ac:dyDescent="0.35">
      <c r="B38" s="38">
        <v>2017</v>
      </c>
      <c r="C38" s="38"/>
      <c r="D38" s="38"/>
      <c r="E38" s="38"/>
    </row>
    <row r="40" spans="1:26" x14ac:dyDescent="0.25">
      <c r="B40" s="26" t="s">
        <v>9</v>
      </c>
      <c r="C40" s="26" t="s">
        <v>32</v>
      </c>
      <c r="D40" s="12" t="s">
        <v>10</v>
      </c>
      <c r="E40" s="12" t="s">
        <v>3</v>
      </c>
      <c r="F40" s="26" t="s">
        <v>9</v>
      </c>
      <c r="G40" s="26" t="s">
        <v>32</v>
      </c>
      <c r="H40" s="12" t="s">
        <v>10</v>
      </c>
      <c r="I40" s="12" t="s">
        <v>0</v>
      </c>
      <c r="J40" s="26" t="s">
        <v>9</v>
      </c>
      <c r="K40" s="26" t="s">
        <v>32</v>
      </c>
      <c r="L40" s="12" t="s">
        <v>10</v>
      </c>
      <c r="M40" s="12" t="s">
        <v>1</v>
      </c>
      <c r="N40" s="26" t="s">
        <v>9</v>
      </c>
      <c r="O40" s="26" t="s">
        <v>32</v>
      </c>
      <c r="P40" s="12" t="s">
        <v>10</v>
      </c>
      <c r="Q40" s="12" t="s">
        <v>4</v>
      </c>
      <c r="R40" s="26" t="s">
        <v>9</v>
      </c>
      <c r="S40" s="26" t="s">
        <v>32</v>
      </c>
      <c r="T40" s="12" t="s">
        <v>10</v>
      </c>
      <c r="U40" s="12" t="s">
        <v>2</v>
      </c>
      <c r="V40" s="26" t="s">
        <v>9</v>
      </c>
      <c r="W40" s="26" t="s">
        <v>32</v>
      </c>
      <c r="X40" s="12" t="s">
        <v>10</v>
      </c>
      <c r="Y40" s="12" t="s">
        <v>5</v>
      </c>
    </row>
    <row r="41" spans="1:26" x14ac:dyDescent="0.25">
      <c r="B41" s="13">
        <v>1</v>
      </c>
      <c r="C41" s="14" t="s">
        <v>37</v>
      </c>
      <c r="D41" s="14" t="s">
        <v>12</v>
      </c>
      <c r="E41" s="18" t="s">
        <v>23</v>
      </c>
      <c r="F41" s="14">
        <v>1</v>
      </c>
      <c r="G41" s="14" t="s">
        <v>37</v>
      </c>
      <c r="H41" s="14" t="s">
        <v>12</v>
      </c>
      <c r="I41" s="18" t="s">
        <v>21</v>
      </c>
      <c r="J41" s="14">
        <v>1</v>
      </c>
      <c r="K41" s="14" t="s">
        <v>37</v>
      </c>
      <c r="L41" s="14" t="s">
        <v>12</v>
      </c>
      <c r="M41" s="18" t="s">
        <v>21</v>
      </c>
      <c r="N41" s="14">
        <v>1</v>
      </c>
      <c r="O41" s="13" t="s">
        <v>39</v>
      </c>
      <c r="P41" s="14" t="s">
        <v>11</v>
      </c>
      <c r="Q41" s="18" t="s">
        <v>22</v>
      </c>
      <c r="R41" s="14">
        <v>1</v>
      </c>
      <c r="S41" s="13" t="s">
        <v>39</v>
      </c>
      <c r="T41" s="14" t="s">
        <v>11</v>
      </c>
      <c r="U41" s="18" t="s">
        <v>59</v>
      </c>
      <c r="V41" s="14">
        <v>1</v>
      </c>
      <c r="W41" s="13" t="s">
        <v>39</v>
      </c>
      <c r="X41" s="14" t="s">
        <v>11</v>
      </c>
      <c r="Y41" s="24" t="s">
        <v>57</v>
      </c>
    </row>
    <row r="42" spans="1:26" ht="15.75" x14ac:dyDescent="0.3">
      <c r="B42" s="13">
        <v>2</v>
      </c>
      <c r="C42" s="13" t="s">
        <v>39</v>
      </c>
      <c r="D42" s="14" t="s">
        <v>12</v>
      </c>
      <c r="E42" s="18" t="s">
        <v>43</v>
      </c>
      <c r="F42" s="14">
        <v>2</v>
      </c>
      <c r="G42" s="14" t="s">
        <v>37</v>
      </c>
      <c r="H42" s="14" t="s">
        <v>12</v>
      </c>
      <c r="I42" s="18" t="s">
        <v>47</v>
      </c>
      <c r="J42" s="14">
        <v>2</v>
      </c>
      <c r="K42" s="14" t="s">
        <v>37</v>
      </c>
      <c r="L42" s="14" t="s">
        <v>12</v>
      </c>
      <c r="M42" s="18" t="s">
        <v>26</v>
      </c>
      <c r="N42" s="16">
        <v>2</v>
      </c>
      <c r="O42" s="13" t="s">
        <v>39</v>
      </c>
      <c r="P42" s="14" t="s">
        <v>11</v>
      </c>
      <c r="Q42" s="18" t="s">
        <v>24</v>
      </c>
      <c r="R42" s="16">
        <v>2</v>
      </c>
      <c r="S42" s="13" t="s">
        <v>39</v>
      </c>
      <c r="T42" s="14" t="s">
        <v>11</v>
      </c>
      <c r="U42" s="18" t="s">
        <v>60</v>
      </c>
      <c r="V42" s="16">
        <v>2</v>
      </c>
      <c r="W42" s="13" t="s">
        <v>39</v>
      </c>
      <c r="X42" s="14" t="s">
        <v>67</v>
      </c>
      <c r="Y42" s="24" t="s">
        <v>73</v>
      </c>
    </row>
    <row r="43" spans="1:26" x14ac:dyDescent="0.25">
      <c r="B43" s="13">
        <v>3</v>
      </c>
      <c r="C43" s="14" t="s">
        <v>37</v>
      </c>
      <c r="D43" s="14" t="s">
        <v>19</v>
      </c>
      <c r="E43" s="18" t="s">
        <v>48</v>
      </c>
      <c r="F43" s="14">
        <v>3</v>
      </c>
      <c r="G43" s="14" t="s">
        <v>37</v>
      </c>
      <c r="H43" s="14" t="s">
        <v>12</v>
      </c>
      <c r="I43" s="18" t="s">
        <v>70</v>
      </c>
      <c r="J43" s="14">
        <v>3</v>
      </c>
      <c r="K43" s="14" t="s">
        <v>37</v>
      </c>
      <c r="L43" s="14" t="s">
        <v>12</v>
      </c>
      <c r="M43" s="18" t="s">
        <v>49</v>
      </c>
      <c r="N43" s="14">
        <v>3</v>
      </c>
      <c r="O43" s="13" t="s">
        <v>39</v>
      </c>
      <c r="P43" s="14" t="s">
        <v>12</v>
      </c>
      <c r="Q43" s="18" t="s">
        <v>25</v>
      </c>
      <c r="R43" s="14"/>
      <c r="S43" s="14"/>
      <c r="T43" s="14"/>
      <c r="U43" s="14"/>
      <c r="V43" s="14"/>
      <c r="W43" s="14"/>
      <c r="X43" s="14"/>
      <c r="Y43" s="14"/>
    </row>
    <row r="44" spans="1:26" x14ac:dyDescent="0.25">
      <c r="B44" s="13">
        <v>4</v>
      </c>
      <c r="C44" s="14" t="s">
        <v>37</v>
      </c>
      <c r="D44" s="14" t="s">
        <v>12</v>
      </c>
      <c r="E44" s="18" t="s">
        <v>49</v>
      </c>
      <c r="F44" s="14">
        <v>4</v>
      </c>
      <c r="G44" s="14" t="s">
        <v>37</v>
      </c>
      <c r="H44" s="14" t="s">
        <v>12</v>
      </c>
      <c r="I44" s="18" t="s">
        <v>72</v>
      </c>
      <c r="J44" s="14">
        <v>4</v>
      </c>
      <c r="K44" s="14" t="s">
        <v>37</v>
      </c>
      <c r="L44" s="14" t="s">
        <v>12</v>
      </c>
      <c r="M44" s="18" t="s">
        <v>70</v>
      </c>
      <c r="N44" s="18">
        <v>4</v>
      </c>
      <c r="O44" s="13" t="s">
        <v>39</v>
      </c>
      <c r="P44" s="14" t="s">
        <v>11</v>
      </c>
      <c r="Q44" s="18" t="s">
        <v>40</v>
      </c>
      <c r="R44" s="14"/>
      <c r="S44" s="14"/>
      <c r="T44" s="14"/>
      <c r="U44" s="14"/>
      <c r="V44" s="14"/>
      <c r="W44" s="14"/>
      <c r="X44" s="14"/>
      <c r="Y44" s="14"/>
    </row>
    <row r="45" spans="1:26" ht="15.75" x14ac:dyDescent="0.3">
      <c r="B45" s="13">
        <v>5</v>
      </c>
      <c r="C45" s="14" t="s">
        <v>37</v>
      </c>
      <c r="D45" s="14" t="s">
        <v>12</v>
      </c>
      <c r="E45" s="18" t="s">
        <v>50</v>
      </c>
      <c r="F45" s="14">
        <v>5</v>
      </c>
      <c r="G45" s="13" t="s">
        <v>39</v>
      </c>
      <c r="H45" s="14" t="s">
        <v>12</v>
      </c>
      <c r="I45" s="18" t="s">
        <v>80</v>
      </c>
      <c r="J45" s="14"/>
      <c r="K45" s="14"/>
      <c r="L45" s="14"/>
      <c r="M45" s="14"/>
      <c r="N45" s="14">
        <v>5</v>
      </c>
      <c r="O45" s="13" t="s">
        <v>39</v>
      </c>
      <c r="P45" s="15" t="s">
        <v>19</v>
      </c>
      <c r="Q45" s="18" t="s">
        <v>41</v>
      </c>
      <c r="R45" s="14"/>
      <c r="S45" s="14"/>
      <c r="T45" s="14"/>
      <c r="U45" s="14"/>
      <c r="V45" s="14"/>
      <c r="W45" s="14"/>
      <c r="X45" s="14"/>
      <c r="Y45" s="14"/>
    </row>
    <row r="46" spans="1:26" ht="15.75" x14ac:dyDescent="0.3">
      <c r="B46" s="28">
        <v>6</v>
      </c>
      <c r="C46" s="28" t="s">
        <v>58</v>
      </c>
      <c r="D46" s="14"/>
      <c r="E46" s="18" t="s">
        <v>61</v>
      </c>
      <c r="F46" s="21"/>
      <c r="G46" s="21"/>
      <c r="H46" s="21"/>
      <c r="I46" s="14"/>
      <c r="J46" s="14"/>
      <c r="K46" s="14"/>
      <c r="L46" s="14"/>
      <c r="M46" s="14"/>
      <c r="N46" s="18">
        <v>6</v>
      </c>
      <c r="O46" s="13" t="s">
        <v>39</v>
      </c>
      <c r="P46" s="15" t="s">
        <v>12</v>
      </c>
      <c r="Q46" s="18" t="s">
        <v>42</v>
      </c>
      <c r="R46" s="14"/>
      <c r="S46" s="14"/>
      <c r="T46" s="14"/>
      <c r="U46" s="14"/>
      <c r="V46" s="14"/>
      <c r="W46" s="14"/>
      <c r="X46" s="14"/>
      <c r="Y46" s="14"/>
    </row>
    <row r="47" spans="1:26" x14ac:dyDescent="0.25">
      <c r="B47" s="14">
        <v>7</v>
      </c>
      <c r="C47" s="14" t="s">
        <v>37</v>
      </c>
      <c r="D47" s="14" t="s">
        <v>12</v>
      </c>
      <c r="E47" s="18" t="s">
        <v>62</v>
      </c>
      <c r="F47" s="22"/>
      <c r="G47" s="22"/>
      <c r="H47" s="22"/>
      <c r="I47" s="14"/>
      <c r="J47" s="14"/>
      <c r="K47" s="14"/>
      <c r="L47" s="14"/>
      <c r="M47" s="14"/>
      <c r="N47" s="14">
        <v>7</v>
      </c>
      <c r="O47" s="14"/>
      <c r="P47" s="14" t="s">
        <v>11</v>
      </c>
      <c r="Q47" s="18" t="s">
        <v>44</v>
      </c>
      <c r="R47" s="14"/>
      <c r="S47" s="14"/>
      <c r="T47" s="14"/>
      <c r="U47" s="14"/>
      <c r="V47" s="14"/>
      <c r="W47" s="14"/>
      <c r="X47" s="14"/>
      <c r="Y47" s="14"/>
    </row>
    <row r="48" spans="1:26" x14ac:dyDescent="0.25">
      <c r="B48" s="28">
        <v>8</v>
      </c>
      <c r="C48" s="14" t="s">
        <v>37</v>
      </c>
      <c r="D48" s="14" t="s">
        <v>12</v>
      </c>
      <c r="E48" s="18" t="s">
        <v>70</v>
      </c>
      <c r="F48" s="22"/>
      <c r="G48" s="22"/>
      <c r="H48" s="22"/>
      <c r="I48" s="14"/>
      <c r="J48" s="14"/>
      <c r="K48" s="14"/>
      <c r="L48" s="14"/>
      <c r="M48" s="14"/>
      <c r="N48" s="18">
        <v>8</v>
      </c>
      <c r="O48" s="13" t="s">
        <v>39</v>
      </c>
      <c r="P48" s="14" t="s">
        <v>11</v>
      </c>
      <c r="Q48" s="18" t="s">
        <v>45</v>
      </c>
      <c r="R48" s="14"/>
      <c r="S48" s="14"/>
      <c r="T48" s="14"/>
      <c r="U48" s="14"/>
      <c r="V48" s="14"/>
      <c r="W48" s="14"/>
      <c r="X48" s="14"/>
      <c r="Y48" s="14"/>
    </row>
    <row r="49" spans="2:25" x14ac:dyDescent="0.25">
      <c r="B49" s="14">
        <v>9</v>
      </c>
      <c r="C49" s="14" t="s">
        <v>37</v>
      </c>
      <c r="D49" s="14" t="s">
        <v>12</v>
      </c>
      <c r="E49" s="18" t="s">
        <v>76</v>
      </c>
      <c r="F49" s="22"/>
      <c r="G49" s="22"/>
      <c r="H49" s="22"/>
      <c r="I49" s="14"/>
      <c r="J49" s="14"/>
      <c r="K49" s="14"/>
      <c r="L49" s="14"/>
      <c r="M49" s="14"/>
      <c r="N49" s="14">
        <v>9</v>
      </c>
      <c r="O49" s="13" t="s">
        <v>39</v>
      </c>
      <c r="P49" s="14" t="s">
        <v>11</v>
      </c>
      <c r="Q49" s="18" t="s">
        <v>46</v>
      </c>
      <c r="R49" s="14"/>
      <c r="S49" s="14"/>
      <c r="T49" s="14"/>
      <c r="U49" s="14"/>
      <c r="V49" s="14"/>
      <c r="W49" s="14"/>
      <c r="X49" s="14"/>
      <c r="Y49" s="14"/>
    </row>
    <row r="50" spans="2:25" ht="15.75" x14ac:dyDescent="0.3">
      <c r="B50" s="28">
        <v>10</v>
      </c>
      <c r="C50" s="14" t="s">
        <v>37</v>
      </c>
      <c r="D50" s="14" t="s">
        <v>19</v>
      </c>
      <c r="E50" s="18" t="s">
        <v>79</v>
      </c>
      <c r="F50" s="22"/>
      <c r="G50" s="22"/>
      <c r="H50" s="22"/>
      <c r="I50" s="14"/>
      <c r="J50" s="14"/>
      <c r="K50" s="14"/>
      <c r="L50" s="14"/>
      <c r="M50" s="14"/>
      <c r="N50" s="18">
        <v>10</v>
      </c>
      <c r="O50" s="14" t="s">
        <v>37</v>
      </c>
      <c r="P50" s="15" t="s">
        <v>19</v>
      </c>
      <c r="Q50" s="18" t="s">
        <v>51</v>
      </c>
      <c r="R50" s="14"/>
      <c r="S50" s="14"/>
      <c r="T50" s="14"/>
      <c r="U50" s="14"/>
      <c r="V50" s="14"/>
      <c r="W50" s="14"/>
      <c r="X50" s="14"/>
      <c r="Y50" s="14"/>
    </row>
    <row r="51" spans="2:25" ht="15.75" x14ac:dyDescent="0.3">
      <c r="B51" s="14">
        <v>11</v>
      </c>
      <c r="C51" s="13" t="s">
        <v>39</v>
      </c>
      <c r="D51" s="14" t="s">
        <v>12</v>
      </c>
      <c r="E51" s="18" t="s">
        <v>80</v>
      </c>
      <c r="F51" s="22"/>
      <c r="G51" s="22"/>
      <c r="H51" s="22"/>
      <c r="I51" s="14"/>
      <c r="J51" s="14"/>
      <c r="K51" s="14"/>
      <c r="L51" s="14"/>
      <c r="M51" s="14"/>
      <c r="N51" s="14">
        <v>11</v>
      </c>
      <c r="O51" s="14" t="s">
        <v>37</v>
      </c>
      <c r="P51" s="15" t="s">
        <v>19</v>
      </c>
      <c r="Q51" s="24" t="s">
        <v>52</v>
      </c>
      <c r="R51" s="14"/>
      <c r="S51" s="14"/>
      <c r="T51" s="14"/>
      <c r="U51" s="14"/>
      <c r="V51" s="14"/>
      <c r="W51" s="14"/>
      <c r="X51" s="14"/>
      <c r="Y51" s="14"/>
    </row>
    <row r="52" spans="2:25" x14ac:dyDescent="0.25">
      <c r="B52" s="14"/>
      <c r="C52" s="14"/>
      <c r="D52" s="14"/>
      <c r="E52" s="22"/>
      <c r="F52" s="22"/>
      <c r="G52" s="22"/>
      <c r="H52" s="22"/>
      <c r="I52" s="14"/>
      <c r="J52" s="14"/>
      <c r="K52" s="14"/>
      <c r="L52" s="14"/>
      <c r="M52" s="14"/>
      <c r="N52" s="18">
        <v>12</v>
      </c>
      <c r="O52" s="13" t="s">
        <v>39</v>
      </c>
      <c r="P52" s="14" t="s">
        <v>11</v>
      </c>
      <c r="Q52" s="18" t="s">
        <v>53</v>
      </c>
      <c r="R52" s="14"/>
      <c r="S52" s="14"/>
      <c r="T52" s="14"/>
      <c r="U52" s="14"/>
      <c r="V52" s="14"/>
      <c r="W52" s="14"/>
      <c r="X52" s="14"/>
      <c r="Y52" s="14"/>
    </row>
    <row r="53" spans="2:25" x14ac:dyDescent="0.25">
      <c r="B53" s="14"/>
      <c r="C53" s="14"/>
      <c r="D53" s="14"/>
      <c r="E53" s="22"/>
      <c r="F53" s="22"/>
      <c r="G53" s="22"/>
      <c r="H53" s="22"/>
      <c r="I53" s="14"/>
      <c r="J53" s="14"/>
      <c r="K53" s="14"/>
      <c r="L53" s="14"/>
      <c r="M53" s="14"/>
      <c r="N53" s="14">
        <v>13</v>
      </c>
      <c r="O53" s="13" t="s">
        <v>39</v>
      </c>
      <c r="P53" s="14" t="s">
        <v>11</v>
      </c>
      <c r="Q53" s="18" t="s">
        <v>54</v>
      </c>
      <c r="R53" s="14"/>
      <c r="S53" s="14"/>
      <c r="T53" s="14"/>
      <c r="U53" s="14"/>
      <c r="V53" s="14"/>
      <c r="W53" s="14"/>
      <c r="X53" s="14"/>
      <c r="Y53" s="14"/>
    </row>
    <row r="54" spans="2:25" x14ac:dyDescent="0.25">
      <c r="B54" s="14"/>
      <c r="C54" s="14"/>
      <c r="D54" s="14"/>
      <c r="E54" s="22"/>
      <c r="F54" s="22"/>
      <c r="G54" s="22"/>
      <c r="H54" s="22"/>
      <c r="I54" s="14"/>
      <c r="J54" s="14"/>
      <c r="K54" s="14"/>
      <c r="L54" s="14"/>
      <c r="M54" s="14"/>
      <c r="N54" s="18">
        <v>14</v>
      </c>
      <c r="O54" s="13" t="s">
        <v>39</v>
      </c>
      <c r="P54" s="14" t="s">
        <v>11</v>
      </c>
      <c r="Q54" s="18" t="s">
        <v>55</v>
      </c>
      <c r="R54" s="14"/>
      <c r="S54" s="14"/>
      <c r="T54" s="14"/>
      <c r="U54" s="14"/>
      <c r="V54" s="14"/>
      <c r="W54" s="14"/>
      <c r="X54" s="14"/>
      <c r="Y54" s="14"/>
    </row>
    <row r="55" spans="2:25" x14ac:dyDescent="0.25">
      <c r="B55" s="14"/>
      <c r="C55" s="14"/>
      <c r="D55" s="14"/>
      <c r="E55" s="22"/>
      <c r="F55" s="22"/>
      <c r="G55" s="22"/>
      <c r="H55" s="22"/>
      <c r="I55" s="14"/>
      <c r="J55" s="14"/>
      <c r="K55" s="14"/>
      <c r="L55" s="14"/>
      <c r="M55" s="14"/>
      <c r="N55" s="14">
        <v>15</v>
      </c>
      <c r="O55" s="13" t="s">
        <v>39</v>
      </c>
      <c r="P55" s="14" t="s">
        <v>11</v>
      </c>
      <c r="Q55" s="18" t="s">
        <v>56</v>
      </c>
      <c r="R55" s="14"/>
      <c r="S55" s="14"/>
      <c r="T55" s="14"/>
      <c r="U55" s="14"/>
      <c r="V55" s="14"/>
      <c r="W55" s="14"/>
      <c r="X55" s="14"/>
      <c r="Y55" s="14"/>
    </row>
    <row r="56" spans="2:25" x14ac:dyDescent="0.25">
      <c r="B56" s="14"/>
      <c r="C56" s="14"/>
      <c r="D56" s="14"/>
      <c r="E56" s="23"/>
      <c r="F56" s="23"/>
      <c r="G56" s="23"/>
      <c r="H56" s="23"/>
      <c r="I56" s="14"/>
      <c r="J56" s="14"/>
      <c r="K56" s="14"/>
      <c r="L56" s="14"/>
      <c r="M56" s="14"/>
      <c r="N56" s="18">
        <v>16</v>
      </c>
      <c r="O56" s="13" t="s">
        <v>39</v>
      </c>
      <c r="P56" s="14"/>
      <c r="Q56" s="18" t="s">
        <v>63</v>
      </c>
      <c r="R56" s="14"/>
      <c r="S56" s="14"/>
      <c r="T56" s="14"/>
      <c r="U56" s="14"/>
      <c r="V56" s="14"/>
      <c r="W56" s="14"/>
      <c r="X56" s="14"/>
      <c r="Y56" s="14"/>
    </row>
    <row r="57" spans="2:25" x14ac:dyDescent="0.25">
      <c r="B57" s="14"/>
      <c r="C57" s="14"/>
      <c r="D57" s="14"/>
      <c r="E57" s="23"/>
      <c r="F57" s="23"/>
      <c r="G57" s="23"/>
      <c r="H57" s="23"/>
      <c r="I57" s="14"/>
      <c r="J57" s="14"/>
      <c r="K57" s="14"/>
      <c r="L57" s="14"/>
      <c r="M57" s="14"/>
      <c r="N57" s="18">
        <v>17</v>
      </c>
      <c r="O57" s="13" t="s">
        <v>39</v>
      </c>
      <c r="P57" s="14" t="s">
        <v>11</v>
      </c>
      <c r="Q57" s="18" t="s">
        <v>64</v>
      </c>
      <c r="R57" s="14"/>
      <c r="S57" s="14"/>
      <c r="T57" s="14"/>
      <c r="U57" s="14"/>
      <c r="V57" s="14"/>
      <c r="W57" s="14"/>
      <c r="X57" s="14"/>
      <c r="Y57" s="14"/>
    </row>
    <row r="58" spans="2:25" x14ac:dyDescent="0.25">
      <c r="B58" s="14"/>
      <c r="C58" s="14"/>
      <c r="D58" s="14"/>
      <c r="E58" s="23"/>
      <c r="F58" s="23"/>
      <c r="G58" s="23"/>
      <c r="H58" s="23"/>
      <c r="I58" s="14"/>
      <c r="J58" s="14"/>
      <c r="K58" s="14"/>
      <c r="L58" s="14"/>
      <c r="M58" s="14"/>
      <c r="N58" s="18">
        <v>18</v>
      </c>
      <c r="O58" s="13" t="s">
        <v>39</v>
      </c>
      <c r="P58" s="14" t="s">
        <v>11</v>
      </c>
      <c r="Q58" s="18" t="s">
        <v>65</v>
      </c>
      <c r="R58" s="14"/>
      <c r="S58" s="14"/>
      <c r="T58" s="14"/>
      <c r="U58" s="14"/>
      <c r="V58" s="14"/>
      <c r="W58" s="14"/>
      <c r="X58" s="14"/>
      <c r="Y58" s="14"/>
    </row>
    <row r="59" spans="2:25" x14ac:dyDescent="0.25">
      <c r="B59" s="14"/>
      <c r="C59" s="14"/>
      <c r="D59" s="14"/>
      <c r="E59" s="23"/>
      <c r="F59" s="23"/>
      <c r="G59" s="23"/>
      <c r="H59" s="23"/>
      <c r="I59" s="14"/>
      <c r="J59" s="14"/>
      <c r="K59" s="14"/>
      <c r="L59" s="14"/>
      <c r="M59" s="14"/>
      <c r="N59" s="18">
        <v>19</v>
      </c>
      <c r="O59" s="13" t="s">
        <v>39</v>
      </c>
      <c r="P59" s="14" t="s">
        <v>67</v>
      </c>
      <c r="Q59" s="18" t="s">
        <v>68</v>
      </c>
      <c r="R59" s="14"/>
      <c r="S59" s="14"/>
      <c r="T59" s="14"/>
      <c r="U59" s="14"/>
      <c r="V59" s="14"/>
      <c r="W59" s="14"/>
      <c r="X59" s="14"/>
      <c r="Y59" s="14"/>
    </row>
    <row r="60" spans="2:25" x14ac:dyDescent="0.25">
      <c r="B60" s="14"/>
      <c r="C60" s="14"/>
      <c r="D60" s="14"/>
      <c r="E60" s="23"/>
      <c r="F60" s="23"/>
      <c r="G60" s="23"/>
      <c r="H60" s="23"/>
      <c r="I60" s="14"/>
      <c r="J60" s="14"/>
      <c r="K60" s="14"/>
      <c r="L60" s="14"/>
      <c r="M60" s="14"/>
      <c r="N60" s="18">
        <v>20</v>
      </c>
      <c r="O60" s="13" t="s">
        <v>39</v>
      </c>
      <c r="P60" s="14" t="s">
        <v>11</v>
      </c>
      <c r="Q60" s="18" t="s">
        <v>69</v>
      </c>
      <c r="R60" s="14"/>
      <c r="S60" s="14"/>
      <c r="T60" s="14"/>
      <c r="U60" s="14"/>
      <c r="V60" s="14"/>
      <c r="W60" s="14"/>
      <c r="X60" s="14"/>
      <c r="Y60" s="14"/>
    </row>
    <row r="61" spans="2:25" x14ac:dyDescent="0.25">
      <c r="B61" s="14"/>
      <c r="C61" s="14"/>
      <c r="D61" s="14"/>
      <c r="E61" s="23"/>
      <c r="F61" s="23"/>
      <c r="G61" s="23"/>
      <c r="H61" s="23"/>
      <c r="I61" s="14"/>
      <c r="J61" s="14"/>
      <c r="K61" s="14"/>
      <c r="L61" s="14"/>
      <c r="M61" s="14"/>
      <c r="N61" s="18">
        <v>21</v>
      </c>
      <c r="O61" s="13" t="s">
        <v>39</v>
      </c>
      <c r="P61" s="14" t="s">
        <v>11</v>
      </c>
      <c r="Q61" s="18" t="s">
        <v>71</v>
      </c>
      <c r="R61" s="14"/>
      <c r="S61" s="14"/>
      <c r="T61" s="14"/>
      <c r="U61" s="14"/>
      <c r="V61" s="14"/>
      <c r="W61" s="14"/>
      <c r="X61" s="14"/>
      <c r="Y61" s="14"/>
    </row>
    <row r="62" spans="2:25" x14ac:dyDescent="0.25">
      <c r="B62" s="14"/>
      <c r="C62" s="14"/>
      <c r="D62" s="14"/>
      <c r="E62" s="23"/>
      <c r="F62" s="23"/>
      <c r="G62" s="23"/>
      <c r="H62" s="23"/>
      <c r="I62" s="14"/>
      <c r="J62" s="14"/>
      <c r="K62" s="14"/>
      <c r="L62" s="14"/>
      <c r="M62" s="14"/>
      <c r="N62" s="18">
        <v>22</v>
      </c>
      <c r="O62" s="13" t="s">
        <v>39</v>
      </c>
      <c r="P62" s="14" t="s">
        <v>11</v>
      </c>
      <c r="Q62" s="24" t="s">
        <v>74</v>
      </c>
      <c r="R62" s="14"/>
      <c r="S62" s="14"/>
      <c r="T62" s="14"/>
      <c r="U62" s="14"/>
      <c r="V62" s="14"/>
      <c r="W62" s="14"/>
      <c r="X62" s="14"/>
      <c r="Y62" s="14"/>
    </row>
    <row r="63" spans="2:25" ht="15.75" x14ac:dyDescent="0.3">
      <c r="B63" s="14"/>
      <c r="C63" s="14"/>
      <c r="D63" s="14"/>
      <c r="E63" s="23"/>
      <c r="F63" s="23"/>
      <c r="G63" s="23"/>
      <c r="H63" s="23"/>
      <c r="I63" s="14"/>
      <c r="J63" s="14"/>
      <c r="K63" s="14"/>
      <c r="L63" s="14"/>
      <c r="M63" s="14"/>
      <c r="N63" s="18">
        <v>23</v>
      </c>
      <c r="O63" s="13" t="s">
        <v>39</v>
      </c>
      <c r="P63" s="15" t="s">
        <v>12</v>
      </c>
      <c r="Q63" s="18" t="s">
        <v>75</v>
      </c>
      <c r="R63" s="14"/>
      <c r="S63" s="14"/>
      <c r="T63" s="14"/>
      <c r="U63" s="14"/>
      <c r="V63" s="14"/>
      <c r="W63" s="14"/>
      <c r="X63" s="14"/>
      <c r="Y63" s="14"/>
    </row>
    <row r="64" spans="2:25" x14ac:dyDescent="0.25">
      <c r="B64" s="14"/>
      <c r="C64" s="14"/>
      <c r="D64" s="14"/>
      <c r="E64" s="23"/>
      <c r="F64" s="23"/>
      <c r="G64" s="23"/>
      <c r="H64" s="23"/>
      <c r="I64" s="14"/>
      <c r="J64" s="14"/>
      <c r="K64" s="14"/>
      <c r="L64" s="14"/>
      <c r="M64" s="14"/>
      <c r="N64" s="18">
        <v>24</v>
      </c>
      <c r="O64" s="13" t="s">
        <v>39</v>
      </c>
      <c r="P64" s="14" t="s">
        <v>11</v>
      </c>
      <c r="Q64" s="18" t="s">
        <v>77</v>
      </c>
      <c r="R64" s="14"/>
      <c r="S64" s="14"/>
      <c r="T64" s="14"/>
      <c r="U64" s="14"/>
      <c r="V64" s="14"/>
      <c r="W64" s="14"/>
      <c r="X64" s="14"/>
      <c r="Y64" s="14"/>
    </row>
    <row r="65" spans="1:26" x14ac:dyDescent="0.25">
      <c r="B65" s="14"/>
      <c r="C65" s="14"/>
      <c r="D65" s="14"/>
      <c r="E65" s="23"/>
      <c r="F65" s="23"/>
      <c r="G65" s="23"/>
      <c r="H65" s="23"/>
      <c r="I65" s="14"/>
      <c r="J65" s="14"/>
      <c r="K65" s="14"/>
      <c r="L65" s="14"/>
      <c r="M65" s="14"/>
      <c r="N65" s="18">
        <v>25</v>
      </c>
      <c r="O65" s="13" t="s">
        <v>39</v>
      </c>
      <c r="P65" s="14" t="s">
        <v>11</v>
      </c>
      <c r="Q65" s="18" t="s">
        <v>78</v>
      </c>
      <c r="R65" s="14"/>
      <c r="S65" s="14"/>
      <c r="T65" s="14"/>
      <c r="U65" s="14"/>
      <c r="V65" s="14"/>
      <c r="W65" s="14"/>
      <c r="X65" s="14"/>
      <c r="Y65" s="14"/>
    </row>
    <row r="66" spans="1:26" x14ac:dyDescent="0.25">
      <c r="B66" s="14"/>
      <c r="C66" s="14"/>
      <c r="D66" s="14"/>
      <c r="E66" s="23"/>
      <c r="F66" s="23"/>
      <c r="G66" s="23"/>
      <c r="H66" s="23"/>
      <c r="I66" s="14"/>
      <c r="J66" s="14"/>
      <c r="K66" s="14"/>
      <c r="L66" s="14"/>
      <c r="M66" s="14"/>
      <c r="N66" s="18">
        <v>26</v>
      </c>
      <c r="O66" s="13" t="s">
        <v>39</v>
      </c>
      <c r="P66" s="14" t="s">
        <v>11</v>
      </c>
      <c r="Q66" s="18" t="s">
        <v>81</v>
      </c>
      <c r="R66" s="14"/>
      <c r="S66" s="14"/>
      <c r="T66" s="14"/>
      <c r="U66" s="14"/>
      <c r="V66" s="14"/>
      <c r="W66" s="14"/>
      <c r="X66" s="14"/>
      <c r="Y66" s="14"/>
    </row>
    <row r="67" spans="1:26" ht="15.75" x14ac:dyDescent="0.3">
      <c r="B67" s="14"/>
      <c r="C67" s="14"/>
      <c r="D67" s="14"/>
      <c r="E67" s="23"/>
      <c r="F67" s="23"/>
      <c r="G67" s="23"/>
      <c r="H67" s="23"/>
      <c r="I67" s="14"/>
      <c r="J67" s="14"/>
      <c r="K67" s="14"/>
      <c r="L67" s="14"/>
      <c r="M67" s="14"/>
      <c r="N67" s="18">
        <v>27</v>
      </c>
      <c r="O67" s="13" t="s">
        <v>39</v>
      </c>
      <c r="P67" s="15" t="s">
        <v>19</v>
      </c>
      <c r="Q67" s="18" t="s">
        <v>82</v>
      </c>
      <c r="R67" s="14"/>
      <c r="S67" s="14"/>
      <c r="T67" s="14"/>
      <c r="U67" s="14"/>
      <c r="V67" s="14"/>
      <c r="W67" s="14"/>
      <c r="X67" s="14"/>
      <c r="Y67" s="14"/>
    </row>
    <row r="68" spans="1:26" x14ac:dyDescent="0.25">
      <c r="B68" s="14"/>
      <c r="C68" s="14"/>
      <c r="D68" s="14"/>
      <c r="E68" s="23"/>
      <c r="F68" s="23"/>
      <c r="G68" s="23"/>
      <c r="H68" s="23"/>
      <c r="I68" s="14"/>
      <c r="J68" s="14"/>
      <c r="K68" s="14"/>
      <c r="L68" s="14"/>
      <c r="M68" s="14"/>
      <c r="N68" s="18">
        <v>28</v>
      </c>
      <c r="O68" s="13" t="s">
        <v>39</v>
      </c>
      <c r="P68" s="14" t="s">
        <v>67</v>
      </c>
      <c r="Q68" s="18" t="s">
        <v>83</v>
      </c>
      <c r="R68" s="14"/>
      <c r="S68" s="14"/>
      <c r="T68" s="14"/>
      <c r="U68" s="14"/>
      <c r="V68" s="14"/>
      <c r="W68" s="14"/>
      <c r="X68" s="14"/>
      <c r="Y68" s="14"/>
    </row>
    <row r="69" spans="1:26" x14ac:dyDescent="0.25">
      <c r="B69" s="14"/>
      <c r="C69" s="14"/>
      <c r="D69" s="14"/>
      <c r="E69" s="23"/>
      <c r="F69" s="23"/>
      <c r="G69" s="23"/>
      <c r="H69" s="23"/>
      <c r="I69" s="14"/>
      <c r="J69" s="14"/>
      <c r="K69" s="14"/>
      <c r="L69" s="14"/>
      <c r="M69" s="14"/>
      <c r="N69" s="18"/>
      <c r="O69" s="13"/>
      <c r="P69" s="14"/>
      <c r="Q69" s="18"/>
      <c r="R69" s="14"/>
      <c r="S69" s="14"/>
      <c r="T69" s="14"/>
      <c r="U69" s="14"/>
      <c r="V69" s="14"/>
      <c r="W69" s="14"/>
      <c r="X69" s="14"/>
      <c r="Y69" s="14"/>
    </row>
    <row r="70" spans="1:26" x14ac:dyDescent="0.25">
      <c r="A70" s="6"/>
      <c r="B70" s="6">
        <v>11</v>
      </c>
      <c r="C70" s="6"/>
      <c r="D70" s="6"/>
      <c r="E70" s="10"/>
      <c r="F70" s="6">
        <v>5</v>
      </c>
      <c r="G70" s="6"/>
      <c r="H70" s="10"/>
      <c r="I70" s="10"/>
      <c r="J70" s="11">
        <v>4</v>
      </c>
      <c r="K70" s="11"/>
      <c r="L70" s="10"/>
      <c r="M70" s="10"/>
      <c r="N70" s="11">
        <v>28</v>
      </c>
      <c r="O70" s="11"/>
      <c r="P70" s="10"/>
      <c r="Q70" s="10"/>
      <c r="R70" s="6">
        <v>2</v>
      </c>
      <c r="S70" s="6"/>
      <c r="T70" s="10"/>
      <c r="U70" s="6"/>
      <c r="V70" s="6">
        <v>2</v>
      </c>
      <c r="W70" s="6"/>
      <c r="X70" s="6"/>
      <c r="Y70" s="6"/>
      <c r="Z70">
        <f>SUM(B70:Y70)</f>
        <v>52</v>
      </c>
    </row>
    <row r="72" spans="1:26" ht="21" x14ac:dyDescent="0.35">
      <c r="B72" s="38" t="s">
        <v>101</v>
      </c>
      <c r="C72" s="38"/>
      <c r="D72" s="38"/>
      <c r="E72" s="38"/>
    </row>
    <row r="74" spans="1:26" x14ac:dyDescent="0.25">
      <c r="B74" s="26" t="s">
        <v>9</v>
      </c>
      <c r="C74" s="26" t="s">
        <v>32</v>
      </c>
      <c r="D74" s="12" t="s">
        <v>10</v>
      </c>
      <c r="E74" s="12" t="s">
        <v>3</v>
      </c>
      <c r="F74" s="26" t="s">
        <v>9</v>
      </c>
      <c r="G74" s="26" t="s">
        <v>32</v>
      </c>
      <c r="H74" s="12" t="s">
        <v>10</v>
      </c>
      <c r="I74" s="12" t="s">
        <v>0</v>
      </c>
      <c r="J74" s="26" t="s">
        <v>9</v>
      </c>
      <c r="K74" s="26" t="s">
        <v>32</v>
      </c>
      <c r="L74" s="12" t="s">
        <v>10</v>
      </c>
      <c r="M74" s="12" t="s">
        <v>1</v>
      </c>
      <c r="N74" s="26" t="s">
        <v>9</v>
      </c>
      <c r="O74" s="26" t="s">
        <v>32</v>
      </c>
      <c r="P74" s="12" t="s">
        <v>10</v>
      </c>
      <c r="Q74" s="12" t="s">
        <v>4</v>
      </c>
      <c r="R74" s="26" t="s">
        <v>9</v>
      </c>
      <c r="S74" s="26" t="s">
        <v>32</v>
      </c>
      <c r="T74" s="12" t="s">
        <v>10</v>
      </c>
      <c r="U74" s="12" t="s">
        <v>2</v>
      </c>
      <c r="V74" s="26" t="s">
        <v>9</v>
      </c>
      <c r="W74" s="26" t="s">
        <v>32</v>
      </c>
      <c r="X74" s="12" t="s">
        <v>10</v>
      </c>
      <c r="Y74" s="12" t="s">
        <v>5</v>
      </c>
    </row>
    <row r="75" spans="1:26" ht="15.75" x14ac:dyDescent="0.3">
      <c r="B75" s="29">
        <v>1</v>
      </c>
      <c r="C75" s="18" t="s">
        <v>39</v>
      </c>
      <c r="D75" s="18" t="s">
        <v>12</v>
      </c>
      <c r="E75" s="18" t="s">
        <v>62</v>
      </c>
      <c r="F75" s="18">
        <v>1</v>
      </c>
      <c r="G75" s="18" t="s">
        <v>39</v>
      </c>
      <c r="H75" s="18" t="s">
        <v>12</v>
      </c>
      <c r="I75" s="24" t="s">
        <v>89</v>
      </c>
      <c r="J75" s="18">
        <v>1</v>
      </c>
      <c r="K75" s="18" t="s">
        <v>39</v>
      </c>
      <c r="L75" s="18" t="s">
        <v>12</v>
      </c>
      <c r="M75" s="24" t="s">
        <v>88</v>
      </c>
      <c r="N75" s="18">
        <v>1</v>
      </c>
      <c r="O75" s="14" t="s">
        <v>37</v>
      </c>
      <c r="P75" s="15" t="s">
        <v>19</v>
      </c>
      <c r="Q75" s="24" t="s">
        <v>52</v>
      </c>
      <c r="R75" s="14">
        <v>1</v>
      </c>
      <c r="S75" s="13" t="s">
        <v>39</v>
      </c>
      <c r="T75" s="14" t="s">
        <v>11</v>
      </c>
      <c r="U75" s="24" t="s">
        <v>95</v>
      </c>
      <c r="V75" s="14">
        <v>1</v>
      </c>
      <c r="W75" s="13" t="s">
        <v>39</v>
      </c>
      <c r="X75" s="14" t="s">
        <v>11</v>
      </c>
      <c r="Y75" s="24" t="s">
        <v>57</v>
      </c>
    </row>
    <row r="76" spans="1:26" ht="15.75" x14ac:dyDescent="0.3">
      <c r="B76" s="29">
        <v>2</v>
      </c>
      <c r="C76" s="18" t="s">
        <v>39</v>
      </c>
      <c r="D76" s="18" t="s">
        <v>12</v>
      </c>
      <c r="E76" s="24" t="s">
        <v>93</v>
      </c>
      <c r="F76" s="29">
        <v>2</v>
      </c>
      <c r="G76" s="18" t="s">
        <v>39</v>
      </c>
      <c r="H76" s="18" t="s">
        <v>12</v>
      </c>
      <c r="I76" s="24" t="s">
        <v>94</v>
      </c>
      <c r="J76" s="29">
        <v>2</v>
      </c>
      <c r="K76" s="18" t="s">
        <v>39</v>
      </c>
      <c r="L76" s="18" t="s">
        <v>12</v>
      </c>
      <c r="M76" s="24" t="s">
        <v>94</v>
      </c>
      <c r="N76" s="30">
        <v>2</v>
      </c>
      <c r="O76" s="13" t="s">
        <v>39</v>
      </c>
      <c r="P76" s="14" t="s">
        <v>11</v>
      </c>
      <c r="Q76" s="24" t="s">
        <v>74</v>
      </c>
      <c r="R76" s="30"/>
      <c r="S76" s="29"/>
      <c r="T76" s="18"/>
      <c r="U76" s="18"/>
      <c r="V76" s="16">
        <v>2</v>
      </c>
      <c r="W76" s="13" t="s">
        <v>39</v>
      </c>
      <c r="X76" s="14" t="s">
        <v>67</v>
      </c>
      <c r="Y76" s="24" t="s">
        <v>73</v>
      </c>
    </row>
    <row r="77" spans="1:26" x14ac:dyDescent="0.25">
      <c r="B77" s="29">
        <v>3</v>
      </c>
      <c r="C77" s="18" t="s">
        <v>39</v>
      </c>
      <c r="D77" s="18" t="s">
        <v>12</v>
      </c>
      <c r="E77" s="24" t="s">
        <v>94</v>
      </c>
      <c r="F77" s="18"/>
      <c r="G77" s="18"/>
      <c r="H77" s="18"/>
      <c r="I77" s="18"/>
      <c r="J77" s="18"/>
      <c r="K77" s="18"/>
      <c r="L77" s="18"/>
      <c r="M77" s="18"/>
      <c r="N77" s="18">
        <v>3</v>
      </c>
      <c r="O77" s="29" t="s">
        <v>39</v>
      </c>
      <c r="P77" s="18" t="s">
        <v>84</v>
      </c>
      <c r="Q77" s="24" t="s">
        <v>85</v>
      </c>
      <c r="R77" s="18"/>
      <c r="S77" s="18"/>
      <c r="T77" s="18"/>
      <c r="U77" s="18"/>
      <c r="V77" s="18"/>
      <c r="W77" s="18"/>
      <c r="X77" s="18"/>
      <c r="Y77" s="18"/>
    </row>
    <row r="78" spans="1:26" x14ac:dyDescent="0.25">
      <c r="B78" s="29">
        <v>4</v>
      </c>
      <c r="C78" s="18" t="s">
        <v>39</v>
      </c>
      <c r="D78" s="18" t="s">
        <v>12</v>
      </c>
      <c r="E78" s="24" t="s">
        <v>97</v>
      </c>
      <c r="F78" s="31"/>
      <c r="G78" s="31"/>
      <c r="H78" s="31"/>
      <c r="I78" s="18"/>
      <c r="J78" s="18"/>
      <c r="K78" s="18"/>
      <c r="L78" s="18"/>
      <c r="M78" s="18"/>
      <c r="N78" s="18">
        <v>4</v>
      </c>
      <c r="O78" s="29" t="s">
        <v>39</v>
      </c>
      <c r="P78" s="18" t="s">
        <v>11</v>
      </c>
      <c r="Q78" s="24" t="s">
        <v>86</v>
      </c>
      <c r="R78" s="18"/>
      <c r="S78" s="18"/>
      <c r="T78" s="18"/>
      <c r="U78" s="18"/>
      <c r="V78" s="18"/>
      <c r="W78" s="18"/>
      <c r="X78" s="18"/>
      <c r="Y78" s="18"/>
    </row>
    <row r="79" spans="1:26" ht="15.75" x14ac:dyDescent="0.3">
      <c r="B79" s="29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30">
        <v>5</v>
      </c>
      <c r="O79" s="29" t="s">
        <v>39</v>
      </c>
      <c r="P79" s="18" t="s">
        <v>11</v>
      </c>
      <c r="Q79" s="24" t="s">
        <v>87</v>
      </c>
      <c r="R79" s="18"/>
      <c r="S79" s="18"/>
      <c r="T79" s="18"/>
      <c r="U79" s="18"/>
      <c r="V79" s="18"/>
      <c r="W79" s="18"/>
      <c r="X79" s="18"/>
      <c r="Y79" s="18"/>
    </row>
    <row r="80" spans="1:26" x14ac:dyDescent="0.25">
      <c r="B80" s="33"/>
      <c r="C80" s="34"/>
      <c r="D80" s="18"/>
      <c r="E80" s="18"/>
      <c r="F80" s="35"/>
      <c r="G80" s="35"/>
      <c r="H80" s="35"/>
      <c r="I80" s="18"/>
      <c r="J80" s="18"/>
      <c r="K80" s="18"/>
      <c r="L80" s="18"/>
      <c r="M80" s="18"/>
      <c r="N80" s="18">
        <v>6</v>
      </c>
      <c r="O80" s="29" t="s">
        <v>39</v>
      </c>
      <c r="P80" s="18" t="s">
        <v>67</v>
      </c>
      <c r="Q80" s="18" t="s">
        <v>90</v>
      </c>
      <c r="R80" s="18"/>
      <c r="S80" s="18"/>
      <c r="T80" s="18"/>
      <c r="U80" s="18"/>
      <c r="V80" s="18"/>
      <c r="W80" s="18"/>
      <c r="X80" s="18"/>
      <c r="Y80" s="18"/>
    </row>
    <row r="81" spans="1:26" x14ac:dyDescent="0.25">
      <c r="B81" s="18"/>
      <c r="C81" s="18"/>
      <c r="D81" s="18"/>
      <c r="E81" s="36"/>
      <c r="F81" s="36"/>
      <c r="G81" s="36"/>
      <c r="H81" s="36"/>
      <c r="I81" s="18"/>
      <c r="J81" s="18"/>
      <c r="K81" s="18"/>
      <c r="L81" s="18"/>
      <c r="M81" s="18"/>
      <c r="N81" s="18">
        <v>7</v>
      </c>
      <c r="O81" s="29" t="s">
        <v>39</v>
      </c>
      <c r="P81" s="18" t="s">
        <v>67</v>
      </c>
      <c r="Q81" s="18" t="s">
        <v>91</v>
      </c>
      <c r="R81" s="18"/>
      <c r="S81" s="18"/>
      <c r="T81" s="18"/>
      <c r="U81" s="18"/>
      <c r="V81" s="18"/>
      <c r="W81" s="18"/>
      <c r="X81" s="18"/>
      <c r="Y81" s="18"/>
    </row>
    <row r="82" spans="1:26" ht="15.75" x14ac:dyDescent="0.3">
      <c r="B82" s="18"/>
      <c r="C82" s="18"/>
      <c r="D82" s="18"/>
      <c r="E82" s="36"/>
      <c r="F82" s="36"/>
      <c r="G82" s="36"/>
      <c r="H82" s="36"/>
      <c r="I82" s="18"/>
      <c r="J82" s="18"/>
      <c r="K82" s="18"/>
      <c r="L82" s="18"/>
      <c r="M82" s="18"/>
      <c r="N82" s="30">
        <v>8</v>
      </c>
      <c r="O82" s="29" t="s">
        <v>39</v>
      </c>
      <c r="P82" s="18" t="s">
        <v>67</v>
      </c>
      <c r="Q82" s="18" t="s">
        <v>92</v>
      </c>
      <c r="R82" s="18"/>
      <c r="S82" s="18"/>
      <c r="T82" s="18"/>
      <c r="U82" s="18"/>
      <c r="V82" s="18"/>
      <c r="W82" s="18"/>
      <c r="X82" s="18"/>
      <c r="Y82" s="18"/>
    </row>
    <row r="83" spans="1:26" x14ac:dyDescent="0.25">
      <c r="B83" s="18"/>
      <c r="C83" s="18"/>
      <c r="D83" s="18"/>
      <c r="E83" s="36"/>
      <c r="F83" s="36"/>
      <c r="G83" s="36"/>
      <c r="H83" s="36"/>
      <c r="I83" s="18"/>
      <c r="J83" s="18"/>
      <c r="K83" s="18"/>
      <c r="L83" s="18"/>
      <c r="M83" s="18"/>
      <c r="N83" s="18">
        <v>9</v>
      </c>
      <c r="O83" s="29" t="s">
        <v>39</v>
      </c>
      <c r="P83" s="18" t="s">
        <v>67</v>
      </c>
      <c r="Q83" s="24" t="s">
        <v>96</v>
      </c>
      <c r="R83" s="18"/>
      <c r="S83" s="18"/>
      <c r="T83" s="18"/>
      <c r="U83" s="18"/>
      <c r="V83" s="18"/>
      <c r="W83" s="18"/>
      <c r="X83" s="18"/>
      <c r="Y83" s="18"/>
    </row>
    <row r="84" spans="1:26" ht="15.75" x14ac:dyDescent="0.3">
      <c r="B84" s="18"/>
      <c r="C84" s="18"/>
      <c r="D84" s="18"/>
      <c r="E84" s="36"/>
      <c r="F84" s="36"/>
      <c r="G84" s="36"/>
      <c r="H84" s="36"/>
      <c r="I84" s="18"/>
      <c r="J84" s="18"/>
      <c r="K84" s="18"/>
      <c r="L84" s="18"/>
      <c r="M84" s="18"/>
      <c r="N84" s="18"/>
      <c r="O84" s="18"/>
      <c r="P84" s="32"/>
      <c r="Q84" s="18"/>
      <c r="R84" s="18"/>
      <c r="S84" s="18"/>
      <c r="T84" s="18"/>
      <c r="U84" s="18"/>
      <c r="V84" s="18"/>
      <c r="W84" s="18"/>
      <c r="X84" s="18"/>
      <c r="Y84" s="18"/>
    </row>
    <row r="85" spans="1:26" ht="15.75" x14ac:dyDescent="0.3">
      <c r="B85" s="18"/>
      <c r="C85" s="18"/>
      <c r="D85" s="18"/>
      <c r="E85" s="36"/>
      <c r="F85" s="36"/>
      <c r="G85" s="36"/>
      <c r="H85" s="36"/>
      <c r="I85" s="18"/>
      <c r="J85" s="18"/>
      <c r="K85" s="18"/>
      <c r="L85" s="18"/>
      <c r="M85" s="18"/>
      <c r="N85" s="18"/>
      <c r="O85" s="18"/>
      <c r="P85" s="32"/>
      <c r="Q85" s="18"/>
      <c r="R85" s="18"/>
      <c r="S85" s="18"/>
      <c r="T85" s="18"/>
      <c r="U85" s="18"/>
      <c r="V85" s="18"/>
      <c r="W85" s="18"/>
      <c r="X85" s="18"/>
      <c r="Y85" s="18"/>
    </row>
    <row r="86" spans="1:26" x14ac:dyDescent="0.25">
      <c r="B86" s="18"/>
      <c r="C86" s="18"/>
      <c r="D86" s="18"/>
      <c r="E86" s="36"/>
      <c r="F86" s="36"/>
      <c r="G86" s="36"/>
      <c r="H86" s="36"/>
      <c r="I86" s="18"/>
      <c r="J86" s="18"/>
      <c r="K86" s="18"/>
      <c r="L86" s="18"/>
      <c r="M86" s="18"/>
      <c r="N86" s="18"/>
      <c r="O86" s="29"/>
      <c r="P86" s="18"/>
      <c r="Q86" s="18"/>
      <c r="R86" s="18"/>
      <c r="S86" s="18"/>
      <c r="T86" s="18"/>
      <c r="U86" s="18"/>
      <c r="V86" s="18"/>
      <c r="W86" s="18"/>
      <c r="X86" s="18"/>
      <c r="Y86" s="18"/>
    </row>
    <row r="87" spans="1:26" x14ac:dyDescent="0.25">
      <c r="B87" s="18"/>
      <c r="C87" s="18"/>
      <c r="D87" s="18"/>
      <c r="E87" s="36"/>
      <c r="F87" s="36"/>
      <c r="G87" s="36"/>
      <c r="H87" s="36"/>
      <c r="I87" s="18"/>
      <c r="J87" s="18"/>
      <c r="K87" s="18"/>
      <c r="L87" s="18"/>
      <c r="M87" s="18"/>
      <c r="N87" s="18"/>
      <c r="O87" s="29"/>
      <c r="P87" s="18"/>
      <c r="Q87" s="18"/>
      <c r="R87" s="18"/>
      <c r="S87" s="18"/>
      <c r="T87" s="18"/>
      <c r="U87" s="18"/>
      <c r="V87" s="18"/>
      <c r="W87" s="18"/>
      <c r="X87" s="18"/>
      <c r="Y87" s="18"/>
    </row>
    <row r="88" spans="1:26" x14ac:dyDescent="0.25">
      <c r="B88" s="18"/>
      <c r="C88" s="18"/>
      <c r="D88" s="18"/>
      <c r="E88" s="36"/>
      <c r="F88" s="36"/>
      <c r="G88" s="36"/>
      <c r="H88" s="36"/>
      <c r="I88" s="18"/>
      <c r="J88" s="18"/>
      <c r="K88" s="18"/>
      <c r="L88" s="18"/>
      <c r="M88" s="18"/>
      <c r="N88" s="18"/>
      <c r="O88" s="29"/>
      <c r="P88" s="18"/>
      <c r="Q88" s="18"/>
      <c r="R88" s="18"/>
      <c r="S88" s="18"/>
      <c r="T88" s="18"/>
      <c r="U88" s="18"/>
      <c r="V88" s="18"/>
      <c r="W88" s="18"/>
      <c r="X88" s="18"/>
      <c r="Y88" s="18"/>
    </row>
    <row r="89" spans="1:26" x14ac:dyDescent="0.25">
      <c r="B89" s="18"/>
      <c r="C89" s="18"/>
      <c r="D89" s="18"/>
      <c r="E89" s="36"/>
      <c r="F89" s="36"/>
      <c r="G89" s="36"/>
      <c r="H89" s="36"/>
      <c r="I89" s="18"/>
      <c r="J89" s="18"/>
      <c r="K89" s="18"/>
      <c r="L89" s="18"/>
      <c r="M89" s="18"/>
      <c r="N89" s="18"/>
      <c r="O89" s="29"/>
      <c r="P89" s="18"/>
      <c r="Q89" s="18"/>
      <c r="R89" s="18"/>
      <c r="S89" s="18"/>
      <c r="T89" s="18"/>
      <c r="U89" s="18"/>
      <c r="V89" s="18"/>
      <c r="W89" s="18"/>
      <c r="X89" s="18"/>
      <c r="Y89" s="18"/>
    </row>
    <row r="90" spans="1:26" x14ac:dyDescent="0.25">
      <c r="B90" s="18"/>
      <c r="C90" s="18"/>
      <c r="D90" s="18"/>
      <c r="E90" s="37"/>
      <c r="F90" s="37"/>
      <c r="G90" s="37"/>
      <c r="H90" s="37"/>
      <c r="I90" s="18"/>
      <c r="J90" s="18"/>
      <c r="K90" s="18"/>
      <c r="L90" s="18"/>
      <c r="M90" s="18"/>
      <c r="N90" s="18"/>
      <c r="O90" s="29"/>
      <c r="P90" s="18"/>
      <c r="Q90" s="18"/>
      <c r="R90" s="18"/>
      <c r="S90" s="18"/>
      <c r="T90" s="18"/>
      <c r="U90" s="18"/>
      <c r="V90" s="18"/>
      <c r="W90" s="18"/>
      <c r="X90" s="18"/>
      <c r="Y90" s="18"/>
    </row>
    <row r="91" spans="1:26" x14ac:dyDescent="0.25">
      <c r="A91" s="6"/>
      <c r="B91" s="6">
        <v>4</v>
      </c>
      <c r="C91" s="6"/>
      <c r="D91" s="6"/>
      <c r="E91" s="10"/>
      <c r="F91" s="6">
        <v>2</v>
      </c>
      <c r="G91" s="6"/>
      <c r="H91" s="10"/>
      <c r="I91" s="10"/>
      <c r="J91" s="11">
        <v>2</v>
      </c>
      <c r="K91" s="11"/>
      <c r="L91" s="10"/>
      <c r="M91" s="10"/>
      <c r="N91" s="11">
        <v>9</v>
      </c>
      <c r="O91" s="11"/>
      <c r="P91" s="10"/>
      <c r="Q91" s="10"/>
      <c r="R91" s="6">
        <v>1</v>
      </c>
      <c r="S91" s="6"/>
      <c r="T91" s="10"/>
      <c r="U91" s="6"/>
      <c r="V91" s="6">
        <v>2</v>
      </c>
      <c r="W91" s="6"/>
      <c r="X91" s="6"/>
      <c r="Y91" s="6"/>
      <c r="Z91">
        <f>SUM(B91:Y91)</f>
        <v>20</v>
      </c>
    </row>
    <row r="93" spans="1:26" ht="21" x14ac:dyDescent="0.35">
      <c r="B93" s="38">
        <v>2019</v>
      </c>
      <c r="C93" s="38"/>
      <c r="D93" s="38"/>
      <c r="E93" s="38"/>
    </row>
    <row r="95" spans="1:26" x14ac:dyDescent="0.25">
      <c r="B95" s="26" t="s">
        <v>9</v>
      </c>
      <c r="C95" s="26" t="s">
        <v>32</v>
      </c>
      <c r="D95" s="12" t="s">
        <v>10</v>
      </c>
      <c r="E95" s="12" t="s">
        <v>3</v>
      </c>
      <c r="F95" s="26" t="s">
        <v>9</v>
      </c>
      <c r="G95" s="26" t="s">
        <v>32</v>
      </c>
      <c r="H95" s="12" t="s">
        <v>10</v>
      </c>
      <c r="I95" s="12" t="s">
        <v>0</v>
      </c>
      <c r="J95" s="26" t="s">
        <v>9</v>
      </c>
      <c r="K95" s="26" t="s">
        <v>32</v>
      </c>
      <c r="L95" s="12" t="s">
        <v>10</v>
      </c>
      <c r="M95" s="12" t="s">
        <v>1</v>
      </c>
      <c r="N95" s="26" t="s">
        <v>9</v>
      </c>
      <c r="O95" s="26" t="s">
        <v>32</v>
      </c>
      <c r="P95" s="12" t="s">
        <v>10</v>
      </c>
      <c r="Q95" s="12" t="s">
        <v>4</v>
      </c>
      <c r="R95" s="26" t="s">
        <v>9</v>
      </c>
      <c r="S95" s="26" t="s">
        <v>32</v>
      </c>
      <c r="T95" s="12" t="s">
        <v>10</v>
      </c>
      <c r="U95" s="12" t="s">
        <v>2</v>
      </c>
      <c r="V95" s="26" t="s">
        <v>9</v>
      </c>
      <c r="W95" s="26" t="s">
        <v>32</v>
      </c>
      <c r="X95" s="12" t="s">
        <v>10</v>
      </c>
      <c r="Y95" s="12" t="s">
        <v>5</v>
      </c>
    </row>
    <row r="96" spans="1:26" ht="15.75" x14ac:dyDescent="0.3">
      <c r="B96" s="29">
        <v>1</v>
      </c>
      <c r="C96" s="18" t="s">
        <v>58</v>
      </c>
      <c r="D96" s="18" t="s">
        <v>12</v>
      </c>
      <c r="E96" s="24" t="s">
        <v>99</v>
      </c>
      <c r="F96" s="18">
        <v>1</v>
      </c>
      <c r="G96" s="18" t="s">
        <v>39</v>
      </c>
      <c r="H96" s="18" t="s">
        <v>12</v>
      </c>
      <c r="I96" s="24" t="s">
        <v>94</v>
      </c>
      <c r="J96" s="18">
        <v>1</v>
      </c>
      <c r="K96" s="18" t="s">
        <v>39</v>
      </c>
      <c r="L96" s="18" t="s">
        <v>12</v>
      </c>
      <c r="M96" s="24" t="s">
        <v>94</v>
      </c>
      <c r="N96" s="18">
        <v>1</v>
      </c>
      <c r="O96" s="14" t="s">
        <v>37</v>
      </c>
      <c r="P96" s="15" t="s">
        <v>19</v>
      </c>
      <c r="Q96" s="24" t="s">
        <v>100</v>
      </c>
      <c r="R96" s="14">
        <v>1</v>
      </c>
      <c r="S96" s="13" t="s">
        <v>39</v>
      </c>
      <c r="T96" s="14" t="s">
        <v>11</v>
      </c>
      <c r="U96" s="24" t="s">
        <v>95</v>
      </c>
      <c r="V96" s="14">
        <v>1</v>
      </c>
      <c r="W96" s="13" t="s">
        <v>39</v>
      </c>
      <c r="X96" s="14" t="s">
        <v>11</v>
      </c>
      <c r="Y96" s="24" t="s">
        <v>110</v>
      </c>
    </row>
    <row r="97" spans="1:26" ht="15.75" x14ac:dyDescent="0.3">
      <c r="B97" s="29">
        <v>2</v>
      </c>
      <c r="C97" s="18" t="s">
        <v>39</v>
      </c>
      <c r="D97" s="18" t="s">
        <v>12</v>
      </c>
      <c r="E97" s="24" t="s">
        <v>94</v>
      </c>
      <c r="F97" s="29">
        <v>2</v>
      </c>
      <c r="G97" s="18" t="s">
        <v>39</v>
      </c>
      <c r="H97" s="18" t="s">
        <v>12</v>
      </c>
      <c r="I97" s="24" t="s">
        <v>109</v>
      </c>
      <c r="J97" s="29">
        <v>2</v>
      </c>
      <c r="K97" s="18" t="s">
        <v>39</v>
      </c>
      <c r="L97" s="18" t="s">
        <v>12</v>
      </c>
      <c r="M97" s="24" t="s">
        <v>109</v>
      </c>
      <c r="N97" s="30">
        <v>2</v>
      </c>
      <c r="O97" s="13" t="s">
        <v>39</v>
      </c>
      <c r="P97" s="14" t="s">
        <v>11</v>
      </c>
      <c r="Q97" s="24" t="s">
        <v>105</v>
      </c>
      <c r="R97" s="30">
        <v>2</v>
      </c>
      <c r="S97" s="29" t="s">
        <v>39</v>
      </c>
      <c r="T97" s="18" t="s">
        <v>11</v>
      </c>
      <c r="U97" s="24" t="s">
        <v>104</v>
      </c>
      <c r="V97" s="16">
        <v>2</v>
      </c>
      <c r="W97" s="13" t="s">
        <v>39</v>
      </c>
      <c r="X97" s="14" t="s">
        <v>67</v>
      </c>
      <c r="Y97" s="24" t="s">
        <v>112</v>
      </c>
    </row>
    <row r="98" spans="1:26" x14ac:dyDescent="0.25">
      <c r="B98" s="29">
        <v>3</v>
      </c>
      <c r="C98" s="18" t="s">
        <v>58</v>
      </c>
      <c r="D98" s="18" t="s">
        <v>12</v>
      </c>
      <c r="E98" s="24" t="s">
        <v>98</v>
      </c>
      <c r="F98" s="18"/>
      <c r="G98" s="18"/>
      <c r="H98" s="18"/>
      <c r="I98" s="18"/>
      <c r="J98" s="18"/>
      <c r="K98" s="18"/>
      <c r="L98" s="18"/>
      <c r="M98" s="18"/>
      <c r="N98" s="18">
        <v>3</v>
      </c>
      <c r="O98" s="29" t="s">
        <v>39</v>
      </c>
      <c r="P98" s="14" t="s">
        <v>11</v>
      </c>
      <c r="Q98" s="18" t="s">
        <v>102</v>
      </c>
      <c r="R98" s="18"/>
      <c r="S98" s="18"/>
      <c r="T98" s="18"/>
      <c r="U98" s="18"/>
      <c r="V98" s="18"/>
      <c r="W98" s="18"/>
      <c r="X98" s="18"/>
      <c r="Y98" s="18"/>
    </row>
    <row r="99" spans="1:26" x14ac:dyDescent="0.25">
      <c r="B99" s="33"/>
      <c r="C99" s="34"/>
      <c r="D99" s="18"/>
      <c r="E99" s="18"/>
      <c r="F99" s="31"/>
      <c r="G99" s="31"/>
      <c r="H99" s="31"/>
      <c r="I99" s="18"/>
      <c r="J99" s="18"/>
      <c r="K99" s="18"/>
      <c r="L99" s="18"/>
      <c r="M99" s="18"/>
      <c r="N99" s="18">
        <v>4</v>
      </c>
      <c r="O99" s="29" t="s">
        <v>39</v>
      </c>
      <c r="P99" s="18" t="s">
        <v>11</v>
      </c>
      <c r="Q99" s="18" t="s">
        <v>103</v>
      </c>
      <c r="R99" s="18"/>
      <c r="S99" s="18"/>
      <c r="T99" s="18"/>
      <c r="U99" s="18"/>
      <c r="V99" s="18"/>
      <c r="W99" s="18"/>
      <c r="X99" s="18"/>
      <c r="Y99" s="18"/>
    </row>
    <row r="100" spans="1:26" ht="15.75" x14ac:dyDescent="0.3">
      <c r="B100" s="33"/>
      <c r="C100" s="34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30">
        <v>5</v>
      </c>
      <c r="O100" s="29" t="s">
        <v>39</v>
      </c>
      <c r="P100" s="18" t="s">
        <v>11</v>
      </c>
      <c r="Q100" s="18" t="s">
        <v>106</v>
      </c>
      <c r="R100" s="18"/>
      <c r="S100" s="18"/>
      <c r="T100" s="18"/>
      <c r="U100" s="18"/>
      <c r="V100" s="18"/>
      <c r="W100" s="18"/>
      <c r="X100" s="18"/>
      <c r="Y100" s="18"/>
    </row>
    <row r="101" spans="1:26" x14ac:dyDescent="0.25">
      <c r="B101" s="33"/>
      <c r="C101" s="34"/>
      <c r="D101" s="18"/>
      <c r="E101" s="18"/>
      <c r="F101" s="35"/>
      <c r="G101" s="35"/>
      <c r="H101" s="35"/>
      <c r="I101" s="18"/>
      <c r="J101" s="18"/>
      <c r="K101" s="18"/>
      <c r="L101" s="18"/>
      <c r="M101" s="18"/>
      <c r="N101" s="18">
        <v>6</v>
      </c>
      <c r="O101" s="29" t="s">
        <v>39</v>
      </c>
      <c r="P101" s="14" t="s">
        <v>11</v>
      </c>
      <c r="Q101" s="18" t="s">
        <v>107</v>
      </c>
      <c r="R101" s="18"/>
      <c r="S101" s="18"/>
      <c r="T101" s="18"/>
      <c r="U101" s="18"/>
      <c r="V101" s="18"/>
      <c r="W101" s="18"/>
      <c r="X101" s="18"/>
      <c r="Y101" s="18"/>
    </row>
    <row r="102" spans="1:26" x14ac:dyDescent="0.25">
      <c r="B102" s="18"/>
      <c r="C102" s="18"/>
      <c r="D102" s="18"/>
      <c r="E102" s="36"/>
      <c r="F102" s="36"/>
      <c r="G102" s="36"/>
      <c r="H102" s="36"/>
      <c r="I102" s="18"/>
      <c r="J102" s="18"/>
      <c r="K102" s="18"/>
      <c r="L102" s="18"/>
      <c r="M102" s="18"/>
      <c r="N102" s="18">
        <v>7</v>
      </c>
      <c r="O102" s="29" t="s">
        <v>39</v>
      </c>
      <c r="P102" s="14" t="s">
        <v>11</v>
      </c>
      <c r="Q102" s="18" t="s">
        <v>108</v>
      </c>
      <c r="R102" s="18"/>
      <c r="S102" s="18"/>
      <c r="T102" s="18"/>
      <c r="U102" s="18"/>
      <c r="V102" s="18"/>
      <c r="W102" s="18"/>
      <c r="X102" s="18"/>
      <c r="Y102" s="18"/>
    </row>
    <row r="103" spans="1:26" ht="15.75" x14ac:dyDescent="0.3">
      <c r="B103" s="18"/>
      <c r="C103" s="18"/>
      <c r="D103" s="18"/>
      <c r="E103" s="36"/>
      <c r="F103" s="36"/>
      <c r="G103" s="36"/>
      <c r="H103" s="36"/>
      <c r="I103" s="18"/>
      <c r="J103" s="18"/>
      <c r="K103" s="18"/>
      <c r="L103" s="18"/>
      <c r="M103" s="18"/>
      <c r="N103" s="30">
        <v>8</v>
      </c>
      <c r="O103" s="29" t="s">
        <v>39</v>
      </c>
      <c r="P103" s="14" t="s">
        <v>11</v>
      </c>
      <c r="Q103" s="24" t="s">
        <v>111</v>
      </c>
      <c r="R103" s="18"/>
      <c r="S103" s="18"/>
      <c r="T103" s="18"/>
      <c r="U103" s="18"/>
      <c r="V103" s="18"/>
      <c r="W103" s="18"/>
      <c r="X103" s="18"/>
      <c r="Y103" s="18"/>
    </row>
    <row r="104" spans="1:26" x14ac:dyDescent="0.25">
      <c r="B104" s="18"/>
      <c r="C104" s="18"/>
      <c r="D104" s="18"/>
      <c r="E104" s="36"/>
      <c r="F104" s="36"/>
      <c r="G104" s="36"/>
      <c r="H104" s="36"/>
      <c r="I104" s="18"/>
      <c r="J104" s="18"/>
      <c r="K104" s="18"/>
      <c r="L104" s="18"/>
      <c r="M104" s="18"/>
      <c r="N104" s="18">
        <v>9</v>
      </c>
      <c r="O104" s="29" t="s">
        <v>39</v>
      </c>
      <c r="P104" s="18" t="s">
        <v>12</v>
      </c>
      <c r="Q104" s="24" t="s">
        <v>113</v>
      </c>
      <c r="R104" s="18"/>
      <c r="S104" s="18"/>
      <c r="T104" s="18"/>
      <c r="U104" s="18"/>
      <c r="V104" s="18"/>
      <c r="W104" s="18"/>
      <c r="X104" s="18"/>
      <c r="Y104" s="18"/>
    </row>
    <row r="105" spans="1:26" ht="15.75" x14ac:dyDescent="0.3">
      <c r="B105" s="18"/>
      <c r="C105" s="18"/>
      <c r="D105" s="18"/>
      <c r="E105" s="36"/>
      <c r="F105" s="36"/>
      <c r="G105" s="36"/>
      <c r="H105" s="36"/>
      <c r="I105" s="18"/>
      <c r="J105" s="18"/>
      <c r="K105" s="18"/>
      <c r="L105" s="18"/>
      <c r="M105" s="18"/>
      <c r="N105" s="18"/>
      <c r="O105" s="18"/>
      <c r="P105" s="32"/>
      <c r="Q105" s="18"/>
      <c r="R105" s="18"/>
      <c r="S105" s="18"/>
      <c r="T105" s="18"/>
      <c r="U105" s="18"/>
      <c r="V105" s="18"/>
      <c r="W105" s="18"/>
      <c r="X105" s="18"/>
      <c r="Y105" s="18"/>
    </row>
    <row r="106" spans="1:26" ht="15.75" x14ac:dyDescent="0.3">
      <c r="B106" s="18"/>
      <c r="C106" s="18"/>
      <c r="D106" s="18"/>
      <c r="E106" s="36"/>
      <c r="F106" s="36"/>
      <c r="G106" s="36"/>
      <c r="H106" s="36"/>
      <c r="I106" s="18"/>
      <c r="J106" s="18"/>
      <c r="K106" s="18"/>
      <c r="L106" s="18"/>
      <c r="M106" s="18"/>
      <c r="N106" s="18"/>
      <c r="O106" s="18"/>
      <c r="P106" s="32"/>
      <c r="Q106" s="18"/>
      <c r="R106" s="18"/>
      <c r="S106" s="18"/>
      <c r="T106" s="18"/>
      <c r="U106" s="18"/>
      <c r="V106" s="18"/>
      <c r="W106" s="18"/>
      <c r="X106" s="18"/>
      <c r="Y106" s="18"/>
    </row>
    <row r="107" spans="1:26" x14ac:dyDescent="0.25">
      <c r="B107" s="18"/>
      <c r="C107" s="18"/>
      <c r="D107" s="18"/>
      <c r="E107" s="36"/>
      <c r="F107" s="36"/>
      <c r="G107" s="36"/>
      <c r="H107" s="36"/>
      <c r="I107" s="18"/>
      <c r="J107" s="18"/>
      <c r="K107" s="18"/>
      <c r="L107" s="18"/>
      <c r="M107" s="18"/>
      <c r="N107" s="18"/>
      <c r="O107" s="29"/>
      <c r="P107" s="18"/>
      <c r="Q107" s="18"/>
      <c r="R107" s="18"/>
      <c r="S107" s="18"/>
      <c r="T107" s="18"/>
      <c r="U107" s="18"/>
      <c r="V107" s="18"/>
      <c r="W107" s="18"/>
      <c r="X107" s="18"/>
      <c r="Y107" s="18"/>
    </row>
    <row r="108" spans="1:26" x14ac:dyDescent="0.25">
      <c r="B108" s="18"/>
      <c r="C108" s="18"/>
      <c r="D108" s="18"/>
      <c r="E108" s="36"/>
      <c r="F108" s="36"/>
      <c r="G108" s="36"/>
      <c r="H108" s="36"/>
      <c r="I108" s="18"/>
      <c r="J108" s="18"/>
      <c r="K108" s="18"/>
      <c r="L108" s="18"/>
      <c r="M108" s="18"/>
      <c r="N108" s="18"/>
      <c r="O108" s="29"/>
      <c r="P108" s="18"/>
      <c r="Q108" s="18"/>
      <c r="R108" s="18"/>
      <c r="S108" s="18"/>
      <c r="T108" s="18"/>
      <c r="U108" s="18"/>
      <c r="V108" s="18"/>
      <c r="W108" s="18"/>
      <c r="X108" s="18"/>
      <c r="Y108" s="18"/>
    </row>
    <row r="109" spans="1:26" x14ac:dyDescent="0.25">
      <c r="B109" s="18"/>
      <c r="C109" s="18"/>
      <c r="D109" s="18"/>
      <c r="E109" s="36"/>
      <c r="F109" s="36"/>
      <c r="G109" s="36"/>
      <c r="H109" s="36"/>
      <c r="I109" s="18"/>
      <c r="J109" s="18"/>
      <c r="K109" s="18"/>
      <c r="L109" s="18"/>
      <c r="M109" s="18"/>
      <c r="N109" s="18"/>
      <c r="O109" s="29"/>
      <c r="P109" s="18"/>
      <c r="Q109" s="18"/>
      <c r="R109" s="18"/>
      <c r="S109" s="18"/>
      <c r="T109" s="18"/>
      <c r="U109" s="18"/>
      <c r="V109" s="18"/>
      <c r="W109" s="18"/>
      <c r="X109" s="18"/>
      <c r="Y109" s="18"/>
    </row>
    <row r="110" spans="1:26" x14ac:dyDescent="0.25">
      <c r="B110" s="18"/>
      <c r="C110" s="18"/>
      <c r="D110" s="18"/>
      <c r="E110" s="36"/>
      <c r="F110" s="36"/>
      <c r="G110" s="36"/>
      <c r="H110" s="36"/>
      <c r="I110" s="18"/>
      <c r="J110" s="18"/>
      <c r="K110" s="18"/>
      <c r="L110" s="18"/>
      <c r="M110" s="18"/>
      <c r="N110" s="18"/>
      <c r="O110" s="29"/>
      <c r="P110" s="18"/>
      <c r="Q110" s="18"/>
      <c r="R110" s="18"/>
      <c r="S110" s="18"/>
      <c r="T110" s="18"/>
      <c r="U110" s="18"/>
      <c r="V110" s="18"/>
      <c r="W110" s="18"/>
      <c r="X110" s="18"/>
      <c r="Y110" s="18"/>
    </row>
    <row r="111" spans="1:26" x14ac:dyDescent="0.25">
      <c r="B111" s="18"/>
      <c r="C111" s="18"/>
      <c r="D111" s="18"/>
      <c r="E111" s="37"/>
      <c r="F111" s="37"/>
      <c r="G111" s="37"/>
      <c r="H111" s="37"/>
      <c r="I111" s="18"/>
      <c r="J111" s="18"/>
      <c r="K111" s="18"/>
      <c r="L111" s="18"/>
      <c r="M111" s="18"/>
      <c r="N111" s="18"/>
      <c r="O111" s="29"/>
      <c r="P111" s="18"/>
      <c r="Q111" s="18"/>
      <c r="R111" s="18"/>
      <c r="S111" s="18"/>
      <c r="T111" s="18"/>
      <c r="U111" s="18"/>
      <c r="V111" s="18"/>
      <c r="W111" s="18"/>
      <c r="X111" s="18"/>
      <c r="Y111" s="18"/>
    </row>
    <row r="112" spans="1:26" x14ac:dyDescent="0.25">
      <c r="A112" s="6"/>
      <c r="B112" s="6">
        <v>3</v>
      </c>
      <c r="C112" s="6"/>
      <c r="D112" s="6"/>
      <c r="E112" s="10"/>
      <c r="F112" s="6">
        <v>2</v>
      </c>
      <c r="G112" s="6"/>
      <c r="H112" s="10"/>
      <c r="I112" s="10"/>
      <c r="J112" s="11">
        <v>2</v>
      </c>
      <c r="K112" s="11"/>
      <c r="L112" s="10"/>
      <c r="M112" s="10"/>
      <c r="N112" s="11">
        <v>9</v>
      </c>
      <c r="O112" s="11"/>
      <c r="P112" s="10"/>
      <c r="Q112" s="10"/>
      <c r="R112" s="6">
        <v>2</v>
      </c>
      <c r="S112" s="6"/>
      <c r="T112" s="10"/>
      <c r="U112" s="6"/>
      <c r="V112" s="6">
        <v>2</v>
      </c>
      <c r="W112" s="6"/>
      <c r="X112" s="6"/>
      <c r="Y112" s="6"/>
      <c r="Z112">
        <f>SUM(B112:Y112)</f>
        <v>20</v>
      </c>
    </row>
    <row r="114" spans="1:25" x14ac:dyDescent="0.25">
      <c r="A114" s="6"/>
      <c r="B114" s="6"/>
      <c r="C114" s="6"/>
      <c r="D114" s="6"/>
      <c r="E114" s="8"/>
      <c r="F114" s="8"/>
      <c r="G114" s="8"/>
      <c r="H114" s="8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spans="1:25" x14ac:dyDescent="0.25">
      <c r="A115" s="6"/>
      <c r="B115" s="6"/>
      <c r="C115" s="6"/>
      <c r="D115" s="6"/>
      <c r="E115" s="25"/>
      <c r="F115" s="6" t="s">
        <v>20</v>
      </c>
      <c r="G115" s="9"/>
      <c r="H115" s="9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spans="1:25" x14ac:dyDescent="0.25">
      <c r="A116" s="6"/>
      <c r="B116" s="6"/>
      <c r="C116" s="6"/>
      <c r="D116" s="6"/>
      <c r="F116" s="6"/>
      <c r="G116" s="9"/>
      <c r="H116" s="9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spans="1:25" x14ac:dyDescent="0.25">
      <c r="A117" s="6"/>
      <c r="B117" s="6"/>
      <c r="C117" s="6"/>
      <c r="D117" s="6"/>
      <c r="E117" s="7" t="s">
        <v>27</v>
      </c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6"/>
      <c r="V117" s="6"/>
      <c r="W117" s="6"/>
      <c r="X117" s="6"/>
      <c r="Y117" s="6"/>
    </row>
    <row r="118" spans="1:25" x14ac:dyDescent="0.25">
      <c r="A118" s="6"/>
      <c r="B118" s="6"/>
      <c r="C118" s="6"/>
      <c r="D118" s="6"/>
      <c r="E118" s="6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6"/>
      <c r="V118" s="6"/>
      <c r="W118" s="6"/>
      <c r="X118" s="6"/>
      <c r="Y118" s="6"/>
    </row>
    <row r="119" spans="1:25" x14ac:dyDescent="0.25">
      <c r="A119" s="6"/>
      <c r="B119" s="6"/>
      <c r="C119" s="6"/>
      <c r="D119" s="6"/>
      <c r="E119" s="27" t="s">
        <v>33</v>
      </c>
      <c r="F119" s="6"/>
      <c r="G119" s="6"/>
      <c r="H119" s="6"/>
      <c r="I119" s="6" t="s">
        <v>38</v>
      </c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spans="1:25" x14ac:dyDescent="0.25">
      <c r="A120" s="6"/>
      <c r="B120" s="6"/>
      <c r="C120" s="6"/>
      <c r="D120" s="6"/>
      <c r="F120" s="6"/>
      <c r="G120" s="6"/>
      <c r="H120" s="6"/>
      <c r="I120" s="6" t="s">
        <v>34</v>
      </c>
      <c r="J120" s="6" t="s">
        <v>36</v>
      </c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spans="1:25" x14ac:dyDescent="0.25">
      <c r="A121" s="6"/>
      <c r="B121" s="6"/>
      <c r="C121" s="6"/>
      <c r="D121" s="6"/>
      <c r="F121" s="6"/>
      <c r="G121" s="6"/>
      <c r="H121" s="6"/>
      <c r="I121" s="6" t="s">
        <v>35</v>
      </c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spans="1:25" x14ac:dyDescent="0.25">
      <c r="A122" s="6"/>
      <c r="B122" s="6"/>
      <c r="C122" s="6"/>
      <c r="D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spans="1:25" ht="15.75" x14ac:dyDescent="0.3">
      <c r="A123" s="6"/>
      <c r="B123" s="6"/>
      <c r="C123" s="6"/>
      <c r="D123" s="6"/>
      <c r="E123" s="7" t="s">
        <v>28</v>
      </c>
      <c r="F123" s="1"/>
      <c r="G123" s="1"/>
      <c r="H123" s="1"/>
      <c r="I123" s="1" t="s">
        <v>29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6"/>
      <c r="V123" s="6"/>
      <c r="W123" s="6"/>
      <c r="X123" s="6"/>
      <c r="Y123" s="6"/>
    </row>
    <row r="124" spans="1:25" x14ac:dyDescent="0.25">
      <c r="I124" s="6" t="s">
        <v>30</v>
      </c>
    </row>
    <row r="125" spans="1:25" x14ac:dyDescent="0.25">
      <c r="I125" s="11" t="s">
        <v>31</v>
      </c>
    </row>
    <row r="126" spans="1:25" x14ac:dyDescent="0.25">
      <c r="I126" s="11" t="s">
        <v>66</v>
      </c>
    </row>
  </sheetData>
  <mergeCells count="5">
    <mergeCell ref="B3:E3"/>
    <mergeCell ref="B17:E17"/>
    <mergeCell ref="B38:E38"/>
    <mergeCell ref="B72:E72"/>
    <mergeCell ref="B93:E93"/>
  </mergeCells>
  <pageMargins left="0.70866141732283472" right="0.70866141732283472" top="0.74803149606299213" bottom="0.74803149606299213" header="0.31496062992125984" footer="0.31496062992125984"/>
  <pageSetup paperSize="9" scale="2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E7:E30"/>
  <sheetViews>
    <sheetView workbookViewId="0">
      <selection activeCell="M12" sqref="M12:M13"/>
    </sheetView>
  </sheetViews>
  <sheetFormatPr defaultRowHeight="15" x14ac:dyDescent="0.25"/>
  <cols>
    <col min="5" max="5" width="23.7109375" customWidth="1"/>
    <col min="6" max="6" width="40.85546875" customWidth="1"/>
  </cols>
  <sheetData>
    <row r="7" spans="5:5" x14ac:dyDescent="0.25">
      <c r="E7" s="3">
        <v>4984000</v>
      </c>
    </row>
    <row r="8" spans="5:5" x14ac:dyDescent="0.25">
      <c r="E8" s="3">
        <v>6790000</v>
      </c>
    </row>
    <row r="9" spans="5:5" x14ac:dyDescent="0.25">
      <c r="E9" s="2">
        <v>0.26600000000000001</v>
      </c>
    </row>
    <row r="10" spans="5:5" x14ac:dyDescent="0.25">
      <c r="E10" s="3">
        <f>E8*E9</f>
        <v>1806140</v>
      </c>
    </row>
    <row r="11" spans="5:5" x14ac:dyDescent="0.25">
      <c r="E11" s="3">
        <f>E7+E10</f>
        <v>6790140</v>
      </c>
    </row>
    <row r="14" spans="5:5" x14ac:dyDescent="0.25">
      <c r="E14">
        <f>E7/E8</f>
        <v>0.73402061855670098</v>
      </c>
    </row>
    <row r="15" spans="5:5" x14ac:dyDescent="0.25">
      <c r="E15">
        <f>1-E14</f>
        <v>0.26597938144329902</v>
      </c>
    </row>
    <row r="19" spans="5:5" x14ac:dyDescent="0.25">
      <c r="E19" s="3">
        <v>6790000</v>
      </c>
    </row>
    <row r="20" spans="5:5" x14ac:dyDescent="0.25">
      <c r="E20" s="3">
        <v>7120000</v>
      </c>
    </row>
    <row r="21" spans="5:5" x14ac:dyDescent="0.25">
      <c r="E21" s="4">
        <f>E20-E19</f>
        <v>330000</v>
      </c>
    </row>
    <row r="22" spans="5:5" x14ac:dyDescent="0.25">
      <c r="E22" s="5">
        <f>E21/E20</f>
        <v>4.6348314606741575E-2</v>
      </c>
    </row>
    <row r="23" spans="5:5" x14ac:dyDescent="0.25">
      <c r="E23">
        <f>E19/E20</f>
        <v>0.9536516853932584</v>
      </c>
    </row>
    <row r="24" spans="5:5" x14ac:dyDescent="0.25">
      <c r="E24">
        <f>1-E23</f>
        <v>4.6348314606741603E-2</v>
      </c>
    </row>
    <row r="27" spans="5:5" x14ac:dyDescent="0.25">
      <c r="E27" s="3">
        <v>25577060</v>
      </c>
    </row>
    <row r="28" spans="5:5" x14ac:dyDescent="0.25">
      <c r="E28" s="3">
        <v>26889202</v>
      </c>
    </row>
    <row r="29" spans="5:5" x14ac:dyDescent="0.25">
      <c r="E29" s="4">
        <f>E28-E27</f>
        <v>1312142</v>
      </c>
    </row>
    <row r="30" spans="5:5" x14ac:dyDescent="0.25">
      <c r="E30" s="5">
        <f>E29/E28</f>
        <v>4.8798101185747352E-2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Salvatori</dc:creator>
  <cp:lastModifiedBy>mauro</cp:lastModifiedBy>
  <cp:lastPrinted>2019-05-02T09:32:58Z</cp:lastPrinted>
  <dcterms:created xsi:type="dcterms:W3CDTF">2016-04-07T15:00:09Z</dcterms:created>
  <dcterms:modified xsi:type="dcterms:W3CDTF">2019-05-02T10:14:56Z</dcterms:modified>
</cp:coreProperties>
</file>